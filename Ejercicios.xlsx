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 Angel\Documents\ETSII\GRADO\2_SEGUNDO\2_CUATRIMESTRE\AC\25-26\Teoría\"/>
    </mc:Choice>
  </mc:AlternateContent>
  <xr:revisionPtr revIDLastSave="0" documentId="13_ncr:1_{09A9E9E4-13B2-466C-822A-7F649CF04A81}" xr6:coauthVersionLast="47" xr6:coauthVersionMax="47" xr10:uidLastSave="{00000000-0000-0000-0000-000000000000}"/>
  <bookViews>
    <workbookView xWindow="-120" yWindow="-120" windowWidth="29040" windowHeight="15720" xr2:uid="{A5948C5E-4C7F-414D-80CC-ABDE3AAD5C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18" i="1"/>
  <c r="C46" i="1"/>
  <c r="C45" i="1"/>
  <c r="C41" i="1"/>
  <c r="C22" i="1"/>
  <c r="C21" i="1"/>
  <c r="C17" i="1"/>
</calcChain>
</file>

<file path=xl/sharedStrings.xml><?xml version="1.0" encoding="utf-8"?>
<sst xmlns="http://schemas.openxmlformats.org/spreadsheetml/2006/main" count="388" uniqueCount="88">
  <si>
    <t>bucle:</t>
  </si>
  <si>
    <t>sw x1, 0xFF(x0)</t>
  </si>
  <si>
    <t>IF</t>
  </si>
  <si>
    <t>ID</t>
  </si>
  <si>
    <t>EX</t>
  </si>
  <si>
    <t>ME</t>
  </si>
  <si>
    <t>WB</t>
  </si>
  <si>
    <t>Ejercicio 9</t>
  </si>
  <si>
    <r>
      <t xml:space="preserve">lw </t>
    </r>
    <r>
      <rPr>
        <sz val="11"/>
        <color rgb="FFFF0000"/>
        <rFont val="Aptos Narrow"/>
        <family val="2"/>
        <scheme val="minor"/>
      </rPr>
      <t>x10</t>
    </r>
    <r>
      <rPr>
        <sz val="11"/>
        <color theme="1"/>
        <rFont val="Aptos Narrow"/>
        <family val="2"/>
        <scheme val="minor"/>
      </rPr>
      <t xml:space="preserve">, 0(x0) </t>
    </r>
  </si>
  <si>
    <r>
      <t xml:space="preserve">addi x11, </t>
    </r>
    <r>
      <rPr>
        <sz val="11"/>
        <color rgb="FFFF0000"/>
        <rFont val="Aptos Narrow"/>
        <family val="2"/>
        <scheme val="minor"/>
      </rPr>
      <t>x10</t>
    </r>
    <r>
      <rPr>
        <sz val="11"/>
        <color theme="1"/>
        <rFont val="Aptos Narrow"/>
        <family val="2"/>
        <scheme val="minor"/>
      </rPr>
      <t xml:space="preserve">, 100 </t>
    </r>
  </si>
  <si>
    <t>.EX</t>
  </si>
  <si>
    <t>ME.</t>
  </si>
  <si>
    <r>
      <t xml:space="preserve">lw </t>
    </r>
    <r>
      <rPr>
        <sz val="11"/>
        <color rgb="FFFF0000"/>
        <rFont val="Aptos Narrow"/>
        <family val="2"/>
        <scheme val="minor"/>
      </rPr>
      <t>x2</t>
    </r>
    <r>
      <rPr>
        <sz val="11"/>
        <color theme="1"/>
        <rFont val="Aptos Narrow"/>
        <family val="2"/>
        <scheme val="minor"/>
      </rPr>
      <t>, 0(x10)</t>
    </r>
  </si>
  <si>
    <r>
      <t xml:space="preserve">add </t>
    </r>
    <r>
      <rPr>
        <sz val="11"/>
        <rFont val="Aptos Narrow"/>
        <family val="2"/>
        <scheme val="minor"/>
      </rPr>
      <t>x1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x1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x2</t>
    </r>
  </si>
  <si>
    <t>EX.</t>
  </si>
  <si>
    <r>
      <t xml:space="preserve">lw </t>
    </r>
    <r>
      <rPr>
        <sz val="11"/>
        <color rgb="FFFF0000"/>
        <rFont val="Aptos Narrow"/>
        <family val="2"/>
        <scheme val="minor"/>
      </rPr>
      <t>x3</t>
    </r>
    <r>
      <rPr>
        <sz val="11"/>
        <color theme="1"/>
        <rFont val="Aptos Narrow"/>
        <family val="2"/>
        <scheme val="minor"/>
      </rPr>
      <t>, 500(x10)</t>
    </r>
  </si>
  <si>
    <t>.ME</t>
  </si>
  <si>
    <r>
      <t xml:space="preserve">addi </t>
    </r>
    <r>
      <rPr>
        <sz val="11"/>
        <color rgb="FFFF0000"/>
        <rFont val="Aptos Narrow"/>
        <family val="2"/>
        <scheme val="minor"/>
      </rPr>
      <t>x10</t>
    </r>
    <r>
      <rPr>
        <sz val="11"/>
        <color theme="1"/>
        <rFont val="Aptos Narrow"/>
        <family val="2"/>
        <scheme val="minor"/>
      </rPr>
      <t>, x10, 4</t>
    </r>
  </si>
  <si>
    <r>
      <t xml:space="preserve">bne </t>
    </r>
    <r>
      <rPr>
        <sz val="11"/>
        <color rgb="FFFF0000"/>
        <rFont val="Aptos Narrow"/>
        <family val="2"/>
        <scheme val="minor"/>
      </rPr>
      <t>x10</t>
    </r>
    <r>
      <rPr>
        <sz val="11"/>
        <color theme="1"/>
        <rFont val="Aptos Narrow"/>
        <family val="2"/>
        <scheme val="minor"/>
      </rPr>
      <t>, x11, bucle</t>
    </r>
  </si>
  <si>
    <t>.ID</t>
  </si>
  <si>
    <t>Nº de Iteraciones</t>
  </si>
  <si>
    <t xml:space="preserve"> Nº Instrucciones ejecutadas </t>
  </si>
  <si>
    <t xml:space="preserve">Ciclos de bloqueo de datos </t>
  </si>
  <si>
    <t xml:space="preserve">Ciclos de bloqueo de control </t>
  </si>
  <si>
    <t xml:space="preserve">Ciclos de bloqueo estructural </t>
  </si>
  <si>
    <t xml:space="preserve">CPI </t>
  </si>
  <si>
    <t>Tiempo de ejecución (en ciclos)</t>
  </si>
  <si>
    <r>
      <t xml:space="preserve">xor </t>
    </r>
    <r>
      <rPr>
        <sz val="11"/>
        <color rgb="FFFF0000"/>
        <rFont val="Aptos Narrow"/>
        <family val="2"/>
        <scheme val="minor"/>
      </rPr>
      <t>x1</t>
    </r>
    <r>
      <rPr>
        <sz val="11"/>
        <color theme="1"/>
        <rFont val="Aptos Narrow"/>
        <family val="2"/>
        <scheme val="minor"/>
      </rPr>
      <t>, x1, x1</t>
    </r>
  </si>
  <si>
    <t>Con byPass</t>
  </si>
  <si>
    <t>Sin byPass</t>
  </si>
  <si>
    <t>WB.</t>
  </si>
  <si>
    <r>
      <t xml:space="preserve">add </t>
    </r>
    <r>
      <rPr>
        <sz val="11"/>
        <color rgb="FFFF0000"/>
        <rFont val="Aptos Narrow"/>
        <family val="2"/>
        <scheme val="minor"/>
      </rPr>
      <t>x1</t>
    </r>
    <r>
      <rPr>
        <sz val="11"/>
        <color theme="1"/>
        <rFont val="Aptos Narrow"/>
        <family val="2"/>
        <scheme val="minor"/>
      </rPr>
      <t xml:space="preserve">, x1, </t>
    </r>
    <r>
      <rPr>
        <sz val="11"/>
        <color rgb="FFFF0000"/>
        <rFont val="Aptos Narrow"/>
        <family val="2"/>
        <scheme val="minor"/>
      </rPr>
      <t>x3</t>
    </r>
  </si>
  <si>
    <r>
      <t xml:space="preserve">sw </t>
    </r>
    <r>
      <rPr>
        <sz val="11"/>
        <color rgb="FFFF0000"/>
        <rFont val="Aptos Narrow"/>
        <family val="2"/>
        <scheme val="minor"/>
      </rPr>
      <t>x1</t>
    </r>
    <r>
      <rPr>
        <sz val="11"/>
        <color theme="1"/>
        <rFont val="Aptos Narrow"/>
        <family val="2"/>
        <scheme val="minor"/>
      </rPr>
      <t>, 1000(x10)</t>
    </r>
  </si>
  <si>
    <t>x10 lo necesita en EX y x1 en ME</t>
  </si>
  <si>
    <t>Ejercicio 20</t>
  </si>
  <si>
    <t>lw x1,0(x2)</t>
  </si>
  <si>
    <t>lw x3,10(x1)</t>
  </si>
  <si>
    <t>addi x4,x3,5</t>
  </si>
  <si>
    <t>EXA</t>
  </si>
  <si>
    <t>EXB</t>
  </si>
  <si>
    <t>EXA.</t>
  </si>
  <si>
    <t>RAW</t>
  </si>
  <si>
    <t>.EXB</t>
  </si>
  <si>
    <t>.EXA.</t>
  </si>
  <si>
    <t>lw x2,0(x2)</t>
  </si>
  <si>
    <t>lw x3,0(x3)</t>
  </si>
  <si>
    <t>add x1,x2,x3</t>
  </si>
  <si>
    <t>sw x1,0(x3)</t>
  </si>
  <si>
    <t>addi x3,x3,4</t>
  </si>
  <si>
    <t>beq x2,x2,s</t>
  </si>
  <si>
    <t>lw x4,0(x2)</t>
  </si>
  <si>
    <t>jalr x1,x5,5</t>
  </si>
  <si>
    <t>addi x2,x2,x1</t>
  </si>
  <si>
    <t>EX1</t>
  </si>
  <si>
    <t>EX2</t>
  </si>
  <si>
    <t>.EX2</t>
  </si>
  <si>
    <t>Suponemos sin fordwarding</t>
  </si>
  <si>
    <t>RAW (x3)</t>
  </si>
  <si>
    <t>RAW (x3,x1)</t>
  </si>
  <si>
    <t>suponemos no tomado</t>
  </si>
  <si>
    <t>¿podria ejecutar id en ciclo7 y bloquear ex1 en ciclo 8 y 9?</t>
  </si>
  <si>
    <t>me salgo de la cuadricula del ejercicio¡¡¡</t>
  </si>
  <si>
    <t>lw x3,0(x1)</t>
  </si>
  <si>
    <t>addi x4,x3,x3</t>
  </si>
  <si>
    <t>.EX.</t>
  </si>
  <si>
    <t>Estructural</t>
  </si>
  <si>
    <t>¡¡ojo no pueden coincidir ME con IF por memoria compartida</t>
  </si>
  <si>
    <t>sw x1,0(x5)</t>
  </si>
  <si>
    <t>addi x5,x5,4</t>
  </si>
  <si>
    <t>lw x1,0(x5)</t>
  </si>
  <si>
    <t xml:space="preserve"> RAW(x5)</t>
  </si>
  <si>
    <t>addi x3,x4,5</t>
  </si>
  <si>
    <t>lw x2,0(x1)</t>
  </si>
  <si>
    <t>sw x2,0(x1)</t>
  </si>
  <si>
    <t>ST</t>
  </si>
  <si>
    <t>LD</t>
  </si>
  <si>
    <t>sw x1,0(x2)</t>
  </si>
  <si>
    <t>beq x1,x2,s</t>
  </si>
  <si>
    <t>sub x1,x2,x3</t>
  </si>
  <si>
    <t>add x4,x1,x5</t>
  </si>
  <si>
    <t>lw x6,4(x4)</t>
  </si>
  <si>
    <t>sub x7,x6,x8</t>
  </si>
  <si>
    <t>beq x7,x6,et</t>
  </si>
  <si>
    <t>andi x7,x7,x7</t>
  </si>
  <si>
    <t>LD.</t>
  </si>
  <si>
    <t>Tenemos escritura multipuerto (pueden coincidir LD con ID). La etapa ST es identica a ME. Para load ahora lo hace todo en LD: MD[Alu]-&gt;Reg[Rd]</t>
  </si>
  <si>
    <t>.ST</t>
  </si>
  <si>
    <t>¡¡ojo no pueden coincidir ME con IF por memoria compartida ni ID con WB por tener banco de registros multipuerto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</si>
</sst>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1" fillId="0" borderId="2" xfId="0" applyFont="1" applyBorder="1"/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591207</xdr:colOff>
      <xdr:row>53</xdr:row>
      <xdr:rowOff>137948</xdr:rowOff>
    </xdr:from>
    <xdr:to>
      <xdr:col>29</xdr:col>
      <xdr:colOff>393349</xdr:colOff>
      <xdr:row>56</xdr:row>
      <xdr:rowOff>128501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89D507-3097-0382-67D4-3F0613E34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207" y="10234448"/>
          <a:ext cx="10851142" cy="562053"/>
        </a:xfrm>
        <a:prstGeom prst="rect">
          <a:avLst/>
        </a:prstGeom>
      </xdr:spPr>
    </xdr:pic>
    <xdr:clientData/>
  </xdr:twoCellAnchor>
  <xdr:twoCellAnchor>
    <xdr:from>
      <xdr:col>1</xdr:col>
      <xdr:colOff>157654</xdr:colOff>
      <xdr:row>58</xdr:row>
      <xdr:rowOff>32845</xdr:rowOff>
    </xdr:from>
    <xdr:to>
      <xdr:col>1</xdr:col>
      <xdr:colOff>335017</xdr:colOff>
      <xdr:row>59</xdr:row>
      <xdr:rowOff>13139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3AAE2AC8-9524-170C-DD84-5351B62DB40E}"/>
            </a:ext>
          </a:extLst>
        </xdr:cNvPr>
        <xdr:cNvSpPr/>
      </xdr:nvSpPr>
      <xdr:spPr>
        <a:xfrm>
          <a:off x="978775" y="11081845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480850</xdr:colOff>
      <xdr:row>59</xdr:row>
      <xdr:rowOff>19706</xdr:rowOff>
    </xdr:from>
    <xdr:to>
      <xdr:col>1</xdr:col>
      <xdr:colOff>670036</xdr:colOff>
      <xdr:row>60</xdr:row>
      <xdr:rowOff>14451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105540F7-1B9C-4199-9C65-12FE72FD2F6B}"/>
            </a:ext>
          </a:extLst>
        </xdr:cNvPr>
        <xdr:cNvSpPr/>
      </xdr:nvSpPr>
      <xdr:spPr>
        <a:xfrm>
          <a:off x="1301971" y="11259206"/>
          <a:ext cx="189186" cy="18524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436181</xdr:colOff>
      <xdr:row>60</xdr:row>
      <xdr:rowOff>21020</xdr:rowOff>
    </xdr:from>
    <xdr:to>
      <xdr:col>1</xdr:col>
      <xdr:colOff>625367</xdr:colOff>
      <xdr:row>61</xdr:row>
      <xdr:rowOff>15765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1C965E9E-715E-4827-B41C-FAFCDE3F725C}"/>
            </a:ext>
          </a:extLst>
        </xdr:cNvPr>
        <xdr:cNvSpPr/>
      </xdr:nvSpPr>
      <xdr:spPr>
        <a:xfrm>
          <a:off x="1257302" y="11451020"/>
          <a:ext cx="189186" cy="18524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190500</xdr:colOff>
      <xdr:row>58</xdr:row>
      <xdr:rowOff>164224</xdr:rowOff>
    </xdr:from>
    <xdr:to>
      <xdr:col>5</xdr:col>
      <xdr:colOff>52551</xdr:colOff>
      <xdr:row>59</xdr:row>
      <xdr:rowOff>72259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97D54981-4BBD-B4B4-AAAF-B76045E5E9D2}"/>
            </a:ext>
          </a:extLst>
        </xdr:cNvPr>
        <xdr:cNvCxnSpPr/>
      </xdr:nvCxnSpPr>
      <xdr:spPr>
        <a:xfrm>
          <a:off x="2804948" y="11213224"/>
          <a:ext cx="177362" cy="985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178676</xdr:colOff>
      <xdr:row>59</xdr:row>
      <xdr:rowOff>165538</xdr:rowOff>
    </xdr:from>
    <xdr:to>
      <xdr:col>8</xdr:col>
      <xdr:colOff>40727</xdr:colOff>
      <xdr:row>60</xdr:row>
      <xdr:rowOff>73573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D3A214A1-E289-4D55-B125-5E66047211CE}"/>
            </a:ext>
          </a:extLst>
        </xdr:cNvPr>
        <xdr:cNvCxnSpPr/>
      </xdr:nvCxnSpPr>
      <xdr:spPr>
        <a:xfrm>
          <a:off x="3739055" y="11405038"/>
          <a:ext cx="177362" cy="985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525518</xdr:colOff>
      <xdr:row>63</xdr:row>
      <xdr:rowOff>19707</xdr:rowOff>
    </xdr:from>
    <xdr:to>
      <xdr:col>29</xdr:col>
      <xdr:colOff>279376</xdr:colOff>
      <xdr:row>67</xdr:row>
      <xdr:rowOff>134129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9E3189F-ACCD-D824-25A1-66EE88302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518" y="12021207"/>
          <a:ext cx="10802858" cy="876422"/>
        </a:xfrm>
        <a:prstGeom prst="rect">
          <a:avLst/>
        </a:prstGeom>
      </xdr:spPr>
    </xdr:pic>
    <xdr:clientData/>
  </xdr:twoCellAnchor>
  <xdr:twoCellAnchor>
    <xdr:from>
      <xdr:col>1</xdr:col>
      <xdr:colOff>151084</xdr:colOff>
      <xdr:row>71</xdr:row>
      <xdr:rowOff>19707</xdr:rowOff>
    </xdr:from>
    <xdr:to>
      <xdr:col>1</xdr:col>
      <xdr:colOff>328447</xdr:colOff>
      <xdr:row>72</xdr:row>
      <xdr:rowOff>1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427B1B9F-8C4F-49CF-948B-C81621B65124}"/>
            </a:ext>
          </a:extLst>
        </xdr:cNvPr>
        <xdr:cNvSpPr/>
      </xdr:nvSpPr>
      <xdr:spPr>
        <a:xfrm>
          <a:off x="972205" y="13545207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218092</xdr:colOff>
      <xdr:row>72</xdr:row>
      <xdr:rowOff>26275</xdr:rowOff>
    </xdr:from>
    <xdr:to>
      <xdr:col>1</xdr:col>
      <xdr:colOff>407278</xdr:colOff>
      <xdr:row>73</xdr:row>
      <xdr:rowOff>21020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86911438-8C35-4249-AA19-DCA48A86C557}"/>
            </a:ext>
          </a:extLst>
        </xdr:cNvPr>
        <xdr:cNvSpPr/>
      </xdr:nvSpPr>
      <xdr:spPr>
        <a:xfrm>
          <a:off x="1039213" y="13742275"/>
          <a:ext cx="189186" cy="18524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554422</xdr:colOff>
      <xdr:row>72</xdr:row>
      <xdr:rowOff>14450</xdr:rowOff>
    </xdr:from>
    <xdr:to>
      <xdr:col>1</xdr:col>
      <xdr:colOff>743608</xdr:colOff>
      <xdr:row>73</xdr:row>
      <xdr:rowOff>9195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92B23448-8599-4DB3-8505-BB02BEA6868E}"/>
            </a:ext>
          </a:extLst>
        </xdr:cNvPr>
        <xdr:cNvSpPr/>
      </xdr:nvSpPr>
      <xdr:spPr>
        <a:xfrm>
          <a:off x="1375543" y="13730450"/>
          <a:ext cx="189186" cy="18524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173423</xdr:colOff>
      <xdr:row>73</xdr:row>
      <xdr:rowOff>1313</xdr:rowOff>
    </xdr:from>
    <xdr:to>
      <xdr:col>1</xdr:col>
      <xdr:colOff>362609</xdr:colOff>
      <xdr:row>73</xdr:row>
      <xdr:rowOff>186558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6B63E763-FB77-4AFC-8B42-0DE0F429B1A5}"/>
            </a:ext>
          </a:extLst>
        </xdr:cNvPr>
        <xdr:cNvSpPr/>
      </xdr:nvSpPr>
      <xdr:spPr>
        <a:xfrm>
          <a:off x="994544" y="13907813"/>
          <a:ext cx="189186" cy="18524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454570</xdr:colOff>
      <xdr:row>73</xdr:row>
      <xdr:rowOff>21020</xdr:rowOff>
    </xdr:from>
    <xdr:to>
      <xdr:col>1</xdr:col>
      <xdr:colOff>631933</xdr:colOff>
      <xdr:row>74</xdr:row>
      <xdr:rowOff>1314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A905D489-0F05-4E6C-B0FB-8FC7FF93F9C3}"/>
            </a:ext>
          </a:extLst>
        </xdr:cNvPr>
        <xdr:cNvSpPr/>
      </xdr:nvSpPr>
      <xdr:spPr>
        <a:xfrm>
          <a:off x="1275691" y="13927520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775138</xdr:colOff>
      <xdr:row>79</xdr:row>
      <xdr:rowOff>45983</xdr:rowOff>
    </xdr:from>
    <xdr:to>
      <xdr:col>29</xdr:col>
      <xdr:colOff>367048</xdr:colOff>
      <xdr:row>82</xdr:row>
      <xdr:rowOff>131800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869E4D1-381A-A171-F980-0A30700E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5138" y="15095483"/>
          <a:ext cx="10640910" cy="657317"/>
        </a:xfrm>
        <a:prstGeom prst="rect">
          <a:avLst/>
        </a:prstGeom>
      </xdr:spPr>
    </xdr:pic>
    <xdr:clientData/>
  </xdr:twoCellAnchor>
  <xdr:twoCellAnchor>
    <xdr:from>
      <xdr:col>1</xdr:col>
      <xdr:colOff>157653</xdr:colOff>
      <xdr:row>85</xdr:row>
      <xdr:rowOff>26275</xdr:rowOff>
    </xdr:from>
    <xdr:to>
      <xdr:col>1</xdr:col>
      <xdr:colOff>335016</xdr:colOff>
      <xdr:row>86</xdr:row>
      <xdr:rowOff>6569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18391642-EE21-4CCB-891D-B51A1BBF10E9}"/>
            </a:ext>
          </a:extLst>
        </xdr:cNvPr>
        <xdr:cNvSpPr/>
      </xdr:nvSpPr>
      <xdr:spPr>
        <a:xfrm>
          <a:off x="1530567" y="16028275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165540</xdr:colOff>
      <xdr:row>86</xdr:row>
      <xdr:rowOff>19705</xdr:rowOff>
    </xdr:from>
    <xdr:to>
      <xdr:col>1</xdr:col>
      <xdr:colOff>354726</xdr:colOff>
      <xdr:row>87</xdr:row>
      <xdr:rowOff>14450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4398036F-2917-41B8-A3D3-CD764845CDBF}"/>
            </a:ext>
          </a:extLst>
        </xdr:cNvPr>
        <xdr:cNvSpPr/>
      </xdr:nvSpPr>
      <xdr:spPr>
        <a:xfrm>
          <a:off x="1538454" y="16212205"/>
          <a:ext cx="189186" cy="18524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408587</xdr:colOff>
      <xdr:row>87</xdr:row>
      <xdr:rowOff>47296</xdr:rowOff>
    </xdr:from>
    <xdr:to>
      <xdr:col>1</xdr:col>
      <xdr:colOff>585950</xdr:colOff>
      <xdr:row>88</xdr:row>
      <xdr:rowOff>26276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8E172F3A-E622-456C-B677-DFBA7B1446E7}"/>
            </a:ext>
          </a:extLst>
        </xdr:cNvPr>
        <xdr:cNvSpPr/>
      </xdr:nvSpPr>
      <xdr:spPr>
        <a:xfrm>
          <a:off x="1781501" y="16430296"/>
          <a:ext cx="177363" cy="169480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243052</xdr:colOff>
      <xdr:row>85</xdr:row>
      <xdr:rowOff>151086</xdr:rowOff>
    </xdr:from>
    <xdr:to>
      <xdr:col>6</xdr:col>
      <xdr:colOff>105104</xdr:colOff>
      <xdr:row>86</xdr:row>
      <xdr:rowOff>59121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58F948EB-D963-4384-AE5C-91A0728DE2E8}"/>
            </a:ext>
          </a:extLst>
        </xdr:cNvPr>
        <xdr:cNvCxnSpPr/>
      </xdr:nvCxnSpPr>
      <xdr:spPr>
        <a:xfrm>
          <a:off x="3724604" y="16153086"/>
          <a:ext cx="177362" cy="985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249620</xdr:colOff>
      <xdr:row>85</xdr:row>
      <xdr:rowOff>164224</xdr:rowOff>
    </xdr:from>
    <xdr:to>
      <xdr:col>6</xdr:col>
      <xdr:colOff>78828</xdr:colOff>
      <xdr:row>87</xdr:row>
      <xdr:rowOff>65690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A7A1A785-B394-4BB2-B904-59D42A2A7AFF}"/>
            </a:ext>
          </a:extLst>
        </xdr:cNvPr>
        <xdr:cNvCxnSpPr/>
      </xdr:nvCxnSpPr>
      <xdr:spPr>
        <a:xfrm>
          <a:off x="3731172" y="16166224"/>
          <a:ext cx="144518" cy="282466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309042</xdr:colOff>
      <xdr:row>85</xdr:row>
      <xdr:rowOff>172057</xdr:rowOff>
    </xdr:from>
    <xdr:to>
      <xdr:col>1</xdr:col>
      <xdr:colOff>434561</xdr:colOff>
      <xdr:row>87</xdr:row>
      <xdr:rowOff>72116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F1C2B475-CDCB-66D1-D5E4-88706F584E2D}"/>
            </a:ext>
          </a:extLst>
        </xdr:cNvPr>
        <xdr:cNvCxnSpPr>
          <a:stCxn id="30" idx="1"/>
          <a:endCxn id="26" idx="5"/>
        </xdr:cNvCxnSpPr>
      </xdr:nvCxnSpPr>
      <xdr:spPr>
        <a:xfrm flipH="1" flipV="1">
          <a:off x="1681956" y="16174057"/>
          <a:ext cx="125519" cy="281059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650327</xdr:colOff>
      <xdr:row>91</xdr:row>
      <xdr:rowOff>32844</xdr:rowOff>
    </xdr:from>
    <xdr:to>
      <xdr:col>29</xdr:col>
      <xdr:colOff>299395</xdr:colOff>
      <xdr:row>96</xdr:row>
      <xdr:rowOff>4398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8FF67B55-834A-659E-DE2C-4481BE88F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0327" y="17368344"/>
          <a:ext cx="10698068" cy="924054"/>
        </a:xfrm>
        <a:prstGeom prst="rect">
          <a:avLst/>
        </a:prstGeom>
      </xdr:spPr>
    </xdr:pic>
    <xdr:clientData/>
  </xdr:twoCellAnchor>
  <xdr:twoCellAnchor>
    <xdr:from>
      <xdr:col>5</xdr:col>
      <xdr:colOff>236484</xdr:colOff>
      <xdr:row>99</xdr:row>
      <xdr:rowOff>164224</xdr:rowOff>
    </xdr:from>
    <xdr:to>
      <xdr:col>6</xdr:col>
      <xdr:colOff>98536</xdr:colOff>
      <xdr:row>100</xdr:row>
      <xdr:rowOff>72259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8F185901-C468-4038-9FD5-5D912EF46A2C}"/>
            </a:ext>
          </a:extLst>
        </xdr:cNvPr>
        <xdr:cNvCxnSpPr/>
      </xdr:nvCxnSpPr>
      <xdr:spPr>
        <a:xfrm>
          <a:off x="3718036" y="19023724"/>
          <a:ext cx="177362" cy="985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394138</xdr:colOff>
      <xdr:row>99</xdr:row>
      <xdr:rowOff>144517</xdr:rowOff>
    </xdr:from>
    <xdr:to>
      <xdr:col>1</xdr:col>
      <xdr:colOff>505811</xdr:colOff>
      <xdr:row>100</xdr:row>
      <xdr:rowOff>91966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25CF13A9-68E7-4A60-855B-8A0338671B96}"/>
            </a:ext>
          </a:extLst>
        </xdr:cNvPr>
        <xdr:cNvCxnSpPr/>
      </xdr:nvCxnSpPr>
      <xdr:spPr>
        <a:xfrm>
          <a:off x="1767052" y="19004017"/>
          <a:ext cx="111673" cy="1379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256190</xdr:colOff>
      <xdr:row>99</xdr:row>
      <xdr:rowOff>26276</xdr:rowOff>
    </xdr:from>
    <xdr:to>
      <xdr:col>1</xdr:col>
      <xdr:colOff>433553</xdr:colOff>
      <xdr:row>100</xdr:row>
      <xdr:rowOff>6570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62231506-7C50-4002-B14B-D8918F757A2E}"/>
            </a:ext>
          </a:extLst>
        </xdr:cNvPr>
        <xdr:cNvSpPr/>
      </xdr:nvSpPr>
      <xdr:spPr>
        <a:xfrm>
          <a:off x="1629104" y="18885776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434865</xdr:colOff>
      <xdr:row>100</xdr:row>
      <xdr:rowOff>34158</xdr:rowOff>
    </xdr:from>
    <xdr:to>
      <xdr:col>1</xdr:col>
      <xdr:colOff>612228</xdr:colOff>
      <xdr:row>101</xdr:row>
      <xdr:rowOff>14452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102A4213-8EA1-4858-8A89-AD5B3FA2779C}"/>
            </a:ext>
          </a:extLst>
        </xdr:cNvPr>
        <xdr:cNvSpPr/>
      </xdr:nvSpPr>
      <xdr:spPr>
        <a:xfrm>
          <a:off x="1807779" y="19084158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479534</xdr:colOff>
      <xdr:row>102</xdr:row>
      <xdr:rowOff>105103</xdr:rowOff>
    </xdr:from>
    <xdr:to>
      <xdr:col>29</xdr:col>
      <xdr:colOff>223865</xdr:colOff>
      <xdr:row>108</xdr:row>
      <xdr:rowOff>181473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67A27843-0F73-0A82-DB95-D1C613702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9534" y="19536103"/>
          <a:ext cx="10793331" cy="1219370"/>
        </a:xfrm>
        <a:prstGeom prst="rect">
          <a:avLst/>
        </a:prstGeom>
      </xdr:spPr>
    </xdr:pic>
    <xdr:clientData/>
  </xdr:twoCellAnchor>
  <xdr:twoCellAnchor>
    <xdr:from>
      <xdr:col>0</xdr:col>
      <xdr:colOff>807984</xdr:colOff>
      <xdr:row>115</xdr:row>
      <xdr:rowOff>190499</xdr:rowOff>
    </xdr:from>
    <xdr:to>
      <xdr:col>0</xdr:col>
      <xdr:colOff>985346</xdr:colOff>
      <xdr:row>116</xdr:row>
      <xdr:rowOff>98534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2B7AF1F8-CB92-40EF-B504-C3E40D665C37}"/>
            </a:ext>
          </a:extLst>
        </xdr:cNvPr>
        <xdr:cNvCxnSpPr/>
      </xdr:nvCxnSpPr>
      <xdr:spPr>
        <a:xfrm>
          <a:off x="807984" y="22097999"/>
          <a:ext cx="177362" cy="985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558363</xdr:colOff>
      <xdr:row>115</xdr:row>
      <xdr:rowOff>118241</xdr:rowOff>
    </xdr:from>
    <xdr:to>
      <xdr:col>0</xdr:col>
      <xdr:colOff>670036</xdr:colOff>
      <xdr:row>116</xdr:row>
      <xdr:rowOff>65690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3A2548CE-31E1-428B-868B-46A9A4B8F311}"/>
            </a:ext>
          </a:extLst>
        </xdr:cNvPr>
        <xdr:cNvCxnSpPr/>
      </xdr:nvCxnSpPr>
      <xdr:spPr>
        <a:xfrm>
          <a:off x="558363" y="22025741"/>
          <a:ext cx="111673" cy="1379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144518</xdr:colOff>
      <xdr:row>111</xdr:row>
      <xdr:rowOff>26276</xdr:rowOff>
    </xdr:from>
    <xdr:to>
      <xdr:col>1</xdr:col>
      <xdr:colOff>321881</xdr:colOff>
      <xdr:row>112</xdr:row>
      <xdr:rowOff>6570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EF7FD3DB-F3BC-49DA-B504-6976D5964FD9}"/>
            </a:ext>
          </a:extLst>
        </xdr:cNvPr>
        <xdr:cNvSpPr/>
      </xdr:nvSpPr>
      <xdr:spPr>
        <a:xfrm>
          <a:off x="1517432" y="21171776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454573</xdr:colOff>
      <xdr:row>114</xdr:row>
      <xdr:rowOff>27590</xdr:rowOff>
    </xdr:from>
    <xdr:to>
      <xdr:col>1</xdr:col>
      <xdr:colOff>631936</xdr:colOff>
      <xdr:row>115</xdr:row>
      <xdr:rowOff>7884</xdr:rowOff>
    </xdr:to>
    <xdr:sp macro="" textlink="">
      <xdr:nvSpPr>
        <xdr:cNvPr id="55" name="Elipse 54">
          <a:extLst>
            <a:ext uri="{FF2B5EF4-FFF2-40B4-BE49-F238E27FC236}">
              <a16:creationId xmlns:a16="http://schemas.microsoft.com/office/drawing/2014/main" id="{10CC815A-2AEB-4D65-9A38-BB94F8BC0502}"/>
            </a:ext>
          </a:extLst>
        </xdr:cNvPr>
        <xdr:cNvSpPr/>
      </xdr:nvSpPr>
      <xdr:spPr>
        <a:xfrm>
          <a:off x="1827487" y="21744590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</a:t>
          </a:r>
        </a:p>
      </xdr:txBody>
    </xdr:sp>
    <xdr:clientData/>
  </xdr:twoCellAnchor>
  <xdr:twoCellAnchor editAs="oneCell">
    <xdr:from>
      <xdr:col>0</xdr:col>
      <xdr:colOff>814552</xdr:colOff>
      <xdr:row>122</xdr:row>
      <xdr:rowOff>26276</xdr:rowOff>
    </xdr:from>
    <xdr:to>
      <xdr:col>29</xdr:col>
      <xdr:colOff>425515</xdr:colOff>
      <xdr:row>128</xdr:row>
      <xdr:rowOff>150278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C9E410DC-ED90-04B0-8DE0-018F976FC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4552" y="23267276"/>
          <a:ext cx="10659963" cy="1267002"/>
        </a:xfrm>
        <a:prstGeom prst="rect">
          <a:avLst/>
        </a:prstGeom>
      </xdr:spPr>
    </xdr:pic>
    <xdr:clientData/>
  </xdr:twoCellAnchor>
  <xdr:twoCellAnchor>
    <xdr:from>
      <xdr:col>1</xdr:col>
      <xdr:colOff>429611</xdr:colOff>
      <xdr:row>113</xdr:row>
      <xdr:rowOff>28904</xdr:rowOff>
    </xdr:from>
    <xdr:to>
      <xdr:col>1</xdr:col>
      <xdr:colOff>606974</xdr:colOff>
      <xdr:row>114</xdr:row>
      <xdr:rowOff>9198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6DAC508B-373D-4718-ACA3-9A7AC3948C06}"/>
            </a:ext>
          </a:extLst>
        </xdr:cNvPr>
        <xdr:cNvSpPr/>
      </xdr:nvSpPr>
      <xdr:spPr>
        <a:xfrm>
          <a:off x="1802525" y="21555404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</a:t>
          </a:r>
        </a:p>
      </xdr:txBody>
    </xdr:sp>
    <xdr:clientData/>
  </xdr:twoCellAnchor>
  <xdr:twoCellAnchor>
    <xdr:from>
      <xdr:col>1</xdr:col>
      <xdr:colOff>157655</xdr:colOff>
      <xdr:row>113</xdr:row>
      <xdr:rowOff>13138</xdr:rowOff>
    </xdr:from>
    <xdr:to>
      <xdr:col>1</xdr:col>
      <xdr:colOff>335018</xdr:colOff>
      <xdr:row>113</xdr:row>
      <xdr:rowOff>183932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D35ADE47-EB0A-444A-B13C-F902AC0F2687}"/>
            </a:ext>
          </a:extLst>
        </xdr:cNvPr>
        <xdr:cNvSpPr/>
      </xdr:nvSpPr>
      <xdr:spPr>
        <a:xfrm>
          <a:off x="1530569" y="21539638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</a:t>
          </a:r>
        </a:p>
      </xdr:txBody>
    </xdr:sp>
    <xdr:clientData/>
  </xdr:twoCellAnchor>
  <xdr:twoCellAnchor>
    <xdr:from>
      <xdr:col>1</xdr:col>
      <xdr:colOff>183931</xdr:colOff>
      <xdr:row>114</xdr:row>
      <xdr:rowOff>19707</xdr:rowOff>
    </xdr:from>
    <xdr:to>
      <xdr:col>1</xdr:col>
      <xdr:colOff>361294</xdr:colOff>
      <xdr:row>115</xdr:row>
      <xdr:rowOff>1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F0123A07-14DE-48EB-BE10-7126E0B5AAA2}"/>
            </a:ext>
          </a:extLst>
        </xdr:cNvPr>
        <xdr:cNvSpPr/>
      </xdr:nvSpPr>
      <xdr:spPr>
        <a:xfrm>
          <a:off x="1556845" y="21736707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</a:t>
          </a:r>
        </a:p>
      </xdr:txBody>
    </xdr:sp>
    <xdr:clientData/>
  </xdr:twoCellAnchor>
  <xdr:twoCellAnchor>
    <xdr:from>
      <xdr:col>1</xdr:col>
      <xdr:colOff>232542</xdr:colOff>
      <xdr:row>121</xdr:row>
      <xdr:rowOff>9197</xdr:rowOff>
    </xdr:from>
    <xdr:to>
      <xdr:col>1</xdr:col>
      <xdr:colOff>409905</xdr:colOff>
      <xdr:row>121</xdr:row>
      <xdr:rowOff>179991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B9E829A1-7640-4DB6-A802-7309F3A78A4F}"/>
            </a:ext>
          </a:extLst>
        </xdr:cNvPr>
        <xdr:cNvSpPr/>
      </xdr:nvSpPr>
      <xdr:spPr>
        <a:xfrm>
          <a:off x="1605456" y="23059697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</a:t>
          </a:r>
        </a:p>
      </xdr:txBody>
    </xdr:sp>
    <xdr:clientData/>
  </xdr:twoCellAnchor>
  <xdr:twoCellAnchor>
    <xdr:from>
      <xdr:col>1</xdr:col>
      <xdr:colOff>148460</xdr:colOff>
      <xdr:row>119</xdr:row>
      <xdr:rowOff>17079</xdr:rowOff>
    </xdr:from>
    <xdr:to>
      <xdr:col>1</xdr:col>
      <xdr:colOff>325823</xdr:colOff>
      <xdr:row>119</xdr:row>
      <xdr:rowOff>187873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FFF6E739-3783-4C65-96C3-7BF4220BCFB0}"/>
            </a:ext>
          </a:extLst>
        </xdr:cNvPr>
        <xdr:cNvSpPr/>
      </xdr:nvSpPr>
      <xdr:spPr>
        <a:xfrm>
          <a:off x="1521374" y="22686579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</a:t>
          </a:r>
        </a:p>
      </xdr:txBody>
    </xdr:sp>
    <xdr:clientData/>
  </xdr:twoCellAnchor>
  <xdr:twoCellAnchor>
    <xdr:from>
      <xdr:col>1</xdr:col>
      <xdr:colOff>169480</xdr:colOff>
      <xdr:row>120</xdr:row>
      <xdr:rowOff>5255</xdr:rowOff>
    </xdr:from>
    <xdr:to>
      <xdr:col>1</xdr:col>
      <xdr:colOff>346843</xdr:colOff>
      <xdr:row>120</xdr:row>
      <xdr:rowOff>176049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CC432590-7DED-4B5F-B7E6-4C115F3F6926}"/>
            </a:ext>
          </a:extLst>
        </xdr:cNvPr>
        <xdr:cNvSpPr/>
      </xdr:nvSpPr>
      <xdr:spPr>
        <a:xfrm>
          <a:off x="1542394" y="22865255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</a:t>
          </a:r>
        </a:p>
      </xdr:txBody>
    </xdr:sp>
    <xdr:clientData/>
  </xdr:twoCellAnchor>
  <xdr:twoCellAnchor>
    <xdr:from>
      <xdr:col>1</xdr:col>
      <xdr:colOff>152402</xdr:colOff>
      <xdr:row>87</xdr:row>
      <xdr:rowOff>19705</xdr:rowOff>
    </xdr:from>
    <xdr:to>
      <xdr:col>1</xdr:col>
      <xdr:colOff>341588</xdr:colOff>
      <xdr:row>88</xdr:row>
      <xdr:rowOff>14450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D4D1D387-AA5B-4A14-9394-2AC9A8FAF91B}"/>
            </a:ext>
          </a:extLst>
        </xdr:cNvPr>
        <xdr:cNvSpPr/>
      </xdr:nvSpPr>
      <xdr:spPr>
        <a:xfrm>
          <a:off x="1525316" y="16593205"/>
          <a:ext cx="189186" cy="18524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436181</xdr:colOff>
      <xdr:row>88</xdr:row>
      <xdr:rowOff>21018</xdr:rowOff>
    </xdr:from>
    <xdr:to>
      <xdr:col>1</xdr:col>
      <xdr:colOff>625367</xdr:colOff>
      <xdr:row>89</xdr:row>
      <xdr:rowOff>15763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A4C93541-DA2A-44CA-9B94-93A3C343120C}"/>
            </a:ext>
          </a:extLst>
        </xdr:cNvPr>
        <xdr:cNvSpPr/>
      </xdr:nvSpPr>
      <xdr:spPr>
        <a:xfrm>
          <a:off x="1809095" y="16785018"/>
          <a:ext cx="189186" cy="18524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157654</xdr:colOff>
      <xdr:row>70</xdr:row>
      <xdr:rowOff>32845</xdr:rowOff>
    </xdr:from>
    <xdr:to>
      <xdr:col>1</xdr:col>
      <xdr:colOff>335017</xdr:colOff>
      <xdr:row>71</xdr:row>
      <xdr:rowOff>13139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2774C65A-60A4-4487-86F5-75E46EF9999F}"/>
            </a:ext>
          </a:extLst>
        </xdr:cNvPr>
        <xdr:cNvSpPr/>
      </xdr:nvSpPr>
      <xdr:spPr>
        <a:xfrm>
          <a:off x="1530568" y="13367845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415157</xdr:colOff>
      <xdr:row>72</xdr:row>
      <xdr:rowOff>21021</xdr:rowOff>
    </xdr:from>
    <xdr:to>
      <xdr:col>1</xdr:col>
      <xdr:colOff>592520</xdr:colOff>
      <xdr:row>73</xdr:row>
      <xdr:rowOff>1315</xdr:rowOff>
    </xdr:to>
    <xdr:sp macro="" textlink="">
      <xdr:nvSpPr>
        <xdr:cNvPr id="66" name="Elipse 65">
          <a:extLst>
            <a:ext uri="{FF2B5EF4-FFF2-40B4-BE49-F238E27FC236}">
              <a16:creationId xmlns:a16="http://schemas.microsoft.com/office/drawing/2014/main" id="{EAF2EE9D-1159-446A-8564-BB558E35DFDA}"/>
            </a:ext>
          </a:extLst>
        </xdr:cNvPr>
        <xdr:cNvSpPr/>
      </xdr:nvSpPr>
      <xdr:spPr>
        <a:xfrm>
          <a:off x="1788071" y="13737021"/>
          <a:ext cx="177363" cy="170794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E9EE-2312-41C7-AE21-8708872F3BDF}">
  <dimension ref="A1:AC138"/>
  <sheetViews>
    <sheetView showGridLines="0" tabSelected="1" topLeftCell="A61" zoomScale="145" zoomScaleNormal="145" workbookViewId="0">
      <selection activeCell="J77" sqref="J77"/>
    </sheetView>
  </sheetViews>
  <sheetFormatPr baseColWidth="10" defaultRowHeight="15" x14ac:dyDescent="0.25"/>
  <cols>
    <col min="1" max="1" width="20.5703125" customWidth="1"/>
    <col min="2" max="2" width="17.42578125" bestFit="1" customWidth="1"/>
    <col min="3" max="29" width="4.7109375" customWidth="1"/>
    <col min="30" max="30" width="59.140625" customWidth="1"/>
  </cols>
  <sheetData>
    <row r="1" spans="1:21" x14ac:dyDescent="0.25">
      <c r="A1" t="s">
        <v>7</v>
      </c>
    </row>
    <row r="2" spans="1:21" x14ac:dyDescent="0.25">
      <c r="B2" t="s">
        <v>28</v>
      </c>
    </row>
    <row r="3" spans="1:21" x14ac:dyDescent="0.25">
      <c r="B3" s="6"/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  <c r="M3" s="7">
        <v>11</v>
      </c>
      <c r="N3" s="7">
        <v>12</v>
      </c>
      <c r="O3" s="7">
        <v>13</v>
      </c>
      <c r="P3" s="7">
        <v>14</v>
      </c>
      <c r="Q3" s="7">
        <v>15</v>
      </c>
      <c r="R3" s="7">
        <v>16</v>
      </c>
      <c r="S3" s="7">
        <v>17</v>
      </c>
      <c r="T3" s="7">
        <v>18</v>
      </c>
      <c r="U3" s="7">
        <v>19</v>
      </c>
    </row>
    <row r="4" spans="1:21" x14ac:dyDescent="0.25">
      <c r="B4" s="6" t="s">
        <v>8</v>
      </c>
      <c r="C4" s="7" t="s">
        <v>2</v>
      </c>
      <c r="D4" s="7" t="s">
        <v>3</v>
      </c>
      <c r="E4" s="7" t="s">
        <v>4</v>
      </c>
      <c r="F4" s="7" t="s">
        <v>11</v>
      </c>
      <c r="G4" s="8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6"/>
    </row>
    <row r="5" spans="1:21" x14ac:dyDescent="0.25">
      <c r="B5" s="6" t="s">
        <v>9</v>
      </c>
      <c r="C5" s="7"/>
      <c r="D5" s="7" t="s">
        <v>2</v>
      </c>
      <c r="E5" s="7" t="s">
        <v>3</v>
      </c>
      <c r="F5" s="9" t="s">
        <v>10</v>
      </c>
      <c r="G5" s="7" t="s">
        <v>10</v>
      </c>
      <c r="H5" s="7" t="s">
        <v>5</v>
      </c>
      <c r="I5" s="7" t="s">
        <v>6</v>
      </c>
      <c r="J5" s="6"/>
      <c r="K5" s="7"/>
      <c r="L5" s="7"/>
      <c r="M5" s="7"/>
      <c r="N5" s="7"/>
      <c r="O5" s="7"/>
      <c r="P5" s="7"/>
      <c r="Q5" s="7"/>
      <c r="R5" s="7"/>
      <c r="S5" s="7"/>
      <c r="T5" s="7"/>
      <c r="U5" s="6"/>
    </row>
    <row r="6" spans="1:21" x14ac:dyDescent="0.25">
      <c r="B6" s="6" t="s">
        <v>27</v>
      </c>
      <c r="C6" s="7"/>
      <c r="D6" s="7"/>
      <c r="E6" s="7" t="s">
        <v>2</v>
      </c>
      <c r="F6" s="9" t="s">
        <v>3</v>
      </c>
      <c r="G6" s="7" t="s">
        <v>3</v>
      </c>
      <c r="H6" s="7" t="s">
        <v>14</v>
      </c>
      <c r="I6" s="10" t="s">
        <v>5</v>
      </c>
      <c r="J6" s="7" t="s">
        <v>6</v>
      </c>
      <c r="K6" s="7"/>
      <c r="L6" s="7"/>
      <c r="M6" s="7"/>
      <c r="N6" s="7"/>
      <c r="O6" s="7"/>
      <c r="P6" s="7"/>
      <c r="Q6" s="7"/>
      <c r="R6" s="7"/>
      <c r="S6" s="7"/>
      <c r="T6" s="7"/>
      <c r="U6" s="6"/>
    </row>
    <row r="7" spans="1:21" x14ac:dyDescent="0.25">
      <c r="A7" s="2" t="s">
        <v>0</v>
      </c>
      <c r="B7" s="6" t="s">
        <v>12</v>
      </c>
      <c r="C7" s="7"/>
      <c r="D7" s="7"/>
      <c r="E7" s="7"/>
      <c r="F7" s="9" t="s">
        <v>2</v>
      </c>
      <c r="G7" s="7" t="s">
        <v>2</v>
      </c>
      <c r="H7" s="7" t="s">
        <v>3</v>
      </c>
      <c r="I7" s="10" t="s">
        <v>4</v>
      </c>
      <c r="J7" s="7" t="s">
        <v>11</v>
      </c>
      <c r="K7" s="7" t="s">
        <v>6</v>
      </c>
      <c r="L7" s="7"/>
      <c r="M7" s="7"/>
      <c r="N7" s="7"/>
      <c r="O7" s="7"/>
      <c r="P7" s="7"/>
      <c r="Q7" s="7"/>
      <c r="R7" s="7"/>
      <c r="S7" s="7"/>
      <c r="T7" s="7"/>
      <c r="U7" s="6"/>
    </row>
    <row r="8" spans="1:21" x14ac:dyDescent="0.25">
      <c r="B8" s="6" t="s">
        <v>13</v>
      </c>
      <c r="C8" s="7"/>
      <c r="D8" s="7"/>
      <c r="E8" s="7"/>
      <c r="F8" s="7"/>
      <c r="G8" s="7"/>
      <c r="H8" s="7" t="s">
        <v>2</v>
      </c>
      <c r="I8" s="10" t="s">
        <v>3</v>
      </c>
      <c r="J8" s="9" t="s">
        <v>10</v>
      </c>
      <c r="K8" s="7" t="s">
        <v>10</v>
      </c>
      <c r="L8" s="7" t="s">
        <v>5</v>
      </c>
      <c r="M8" s="7" t="s">
        <v>6</v>
      </c>
      <c r="N8" s="7"/>
      <c r="O8" s="7"/>
      <c r="P8" s="7"/>
      <c r="Q8" s="7"/>
      <c r="R8" s="7"/>
      <c r="S8" s="7"/>
      <c r="T8" s="7"/>
      <c r="U8" s="6"/>
    </row>
    <row r="9" spans="1:21" x14ac:dyDescent="0.25">
      <c r="B9" s="6" t="s">
        <v>15</v>
      </c>
      <c r="C9" s="7"/>
      <c r="D9" s="7"/>
      <c r="E9" s="7"/>
      <c r="F9" s="7"/>
      <c r="G9" s="7"/>
      <c r="H9" s="7"/>
      <c r="I9" s="7" t="s">
        <v>2</v>
      </c>
      <c r="J9" s="9" t="s">
        <v>3</v>
      </c>
      <c r="K9" s="7" t="s">
        <v>3</v>
      </c>
      <c r="L9" s="10" t="s">
        <v>4</v>
      </c>
      <c r="M9" s="7" t="s">
        <v>11</v>
      </c>
      <c r="N9" s="8" t="s">
        <v>6</v>
      </c>
      <c r="O9" s="7"/>
      <c r="P9" s="7"/>
      <c r="Q9" s="7"/>
      <c r="R9" s="7"/>
      <c r="S9" s="7"/>
      <c r="T9" s="7"/>
      <c r="U9" s="6"/>
    </row>
    <row r="10" spans="1:21" x14ac:dyDescent="0.25">
      <c r="B10" s="6" t="s">
        <v>31</v>
      </c>
      <c r="C10" s="7"/>
      <c r="D10" s="7"/>
      <c r="E10" s="7"/>
      <c r="F10" s="7"/>
      <c r="G10" s="7"/>
      <c r="H10" s="7"/>
      <c r="I10" s="7"/>
      <c r="J10" s="9" t="s">
        <v>2</v>
      </c>
      <c r="K10" s="7" t="s">
        <v>2</v>
      </c>
      <c r="L10" s="10" t="s">
        <v>3</v>
      </c>
      <c r="M10" s="9" t="s">
        <v>10</v>
      </c>
      <c r="N10" s="7" t="s">
        <v>10</v>
      </c>
      <c r="O10" s="7" t="s">
        <v>5</v>
      </c>
      <c r="P10" s="8" t="s">
        <v>6</v>
      </c>
      <c r="Q10" s="7"/>
      <c r="R10" s="7"/>
      <c r="S10" s="7"/>
      <c r="T10" s="7"/>
      <c r="U10" s="6"/>
    </row>
    <row r="11" spans="1:21" x14ac:dyDescent="0.25">
      <c r="B11" s="6" t="s">
        <v>32</v>
      </c>
      <c r="C11" s="7"/>
      <c r="D11" s="7"/>
      <c r="E11" s="7"/>
      <c r="F11" s="7"/>
      <c r="G11" s="7"/>
      <c r="H11" s="7"/>
      <c r="I11" s="7"/>
      <c r="J11" s="7"/>
      <c r="K11" s="7"/>
      <c r="L11" s="7" t="s">
        <v>2</v>
      </c>
      <c r="M11" s="9" t="s">
        <v>3</v>
      </c>
      <c r="N11" s="7" t="s">
        <v>3</v>
      </c>
      <c r="O11" s="7" t="s">
        <v>10</v>
      </c>
      <c r="P11" s="7" t="s">
        <v>16</v>
      </c>
      <c r="Q11" s="8" t="s">
        <v>6</v>
      </c>
      <c r="R11" s="7"/>
      <c r="S11" s="7"/>
      <c r="T11" s="7"/>
      <c r="U11" s="6"/>
    </row>
    <row r="12" spans="1:21" x14ac:dyDescent="0.25">
      <c r="B12" s="6" t="s">
        <v>17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6"/>
      <c r="N12" s="7" t="s">
        <v>2</v>
      </c>
      <c r="O12" s="7" t="s">
        <v>3</v>
      </c>
      <c r="P12" s="7" t="s">
        <v>14</v>
      </c>
      <c r="Q12" s="7" t="s">
        <v>5</v>
      </c>
      <c r="R12" s="8" t="s">
        <v>6</v>
      </c>
      <c r="S12" s="7"/>
      <c r="T12" s="7"/>
      <c r="U12" s="6"/>
    </row>
    <row r="13" spans="1:21" x14ac:dyDescent="0.25">
      <c r="B13" s="6" t="s">
        <v>18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 t="s">
        <v>2</v>
      </c>
      <c r="P13" s="9" t="s">
        <v>3</v>
      </c>
      <c r="Q13" s="7" t="s">
        <v>19</v>
      </c>
      <c r="R13" s="7" t="s">
        <v>4</v>
      </c>
      <c r="S13" s="7" t="s">
        <v>5</v>
      </c>
      <c r="T13" s="8" t="s">
        <v>6</v>
      </c>
      <c r="U13" s="6"/>
    </row>
    <row r="14" spans="1:21" x14ac:dyDescent="0.25">
      <c r="B14" s="6" t="s">
        <v>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9" t="s">
        <v>2</v>
      </c>
      <c r="Q14" s="7" t="s">
        <v>2</v>
      </c>
      <c r="R14" s="7" t="s">
        <v>3</v>
      </c>
      <c r="S14" s="10" t="s">
        <v>4</v>
      </c>
      <c r="T14" s="7" t="s">
        <v>11</v>
      </c>
      <c r="U14" s="7" t="s">
        <v>6</v>
      </c>
    </row>
    <row r="16" spans="1:21" x14ac:dyDescent="0.25">
      <c r="A16" t="s">
        <v>20</v>
      </c>
      <c r="C16">
        <v>25</v>
      </c>
    </row>
    <row r="17" spans="1:25" x14ac:dyDescent="0.25">
      <c r="A17" t="s">
        <v>21</v>
      </c>
      <c r="C17">
        <f>3+25*7+1</f>
        <v>179</v>
      </c>
    </row>
    <row r="18" spans="1:25" x14ac:dyDescent="0.25">
      <c r="A18" t="s">
        <v>22</v>
      </c>
      <c r="C18">
        <f>4+23*3+3</f>
        <v>76</v>
      </c>
    </row>
    <row r="19" spans="1:25" x14ac:dyDescent="0.25">
      <c r="A19" t="s">
        <v>23</v>
      </c>
      <c r="C19">
        <v>24</v>
      </c>
    </row>
    <row r="20" spans="1:25" x14ac:dyDescent="0.25">
      <c r="A20" t="s">
        <v>24</v>
      </c>
      <c r="C20">
        <v>0</v>
      </c>
    </row>
    <row r="21" spans="1:25" x14ac:dyDescent="0.25">
      <c r="A21" t="s">
        <v>25</v>
      </c>
      <c r="C21">
        <f>1+(100/179)</f>
        <v>1.558659217877095</v>
      </c>
    </row>
    <row r="22" spans="1:25" x14ac:dyDescent="0.25">
      <c r="A22" t="s">
        <v>26</v>
      </c>
      <c r="C22">
        <f>1.56*179</f>
        <v>279.24</v>
      </c>
    </row>
    <row r="25" spans="1:25" x14ac:dyDescent="0.25">
      <c r="B25" t="s">
        <v>29</v>
      </c>
    </row>
    <row r="26" spans="1:25" x14ac:dyDescent="0.25">
      <c r="B26" s="6"/>
      <c r="C26" s="7">
        <v>1</v>
      </c>
      <c r="D26" s="7">
        <v>2</v>
      </c>
      <c r="E26" s="7">
        <v>3</v>
      </c>
      <c r="F26" s="7">
        <v>4</v>
      </c>
      <c r="G26" s="7">
        <v>5</v>
      </c>
      <c r="H26" s="7">
        <v>6</v>
      </c>
      <c r="I26" s="7">
        <v>7</v>
      </c>
      <c r="J26" s="7">
        <v>8</v>
      </c>
      <c r="K26" s="7">
        <v>9</v>
      </c>
      <c r="L26" s="7">
        <v>10</v>
      </c>
      <c r="M26" s="7">
        <v>11</v>
      </c>
      <c r="N26" s="7">
        <v>12</v>
      </c>
      <c r="O26" s="7">
        <v>13</v>
      </c>
      <c r="P26" s="7">
        <v>14</v>
      </c>
      <c r="Q26" s="7">
        <v>15</v>
      </c>
      <c r="R26" s="7">
        <v>16</v>
      </c>
      <c r="S26" s="7">
        <v>17</v>
      </c>
      <c r="T26" s="7">
        <v>18</v>
      </c>
      <c r="U26" s="7">
        <v>19</v>
      </c>
      <c r="V26" s="7">
        <v>20</v>
      </c>
      <c r="W26" s="7">
        <v>21</v>
      </c>
      <c r="X26" s="7">
        <v>22</v>
      </c>
      <c r="Y26" s="7">
        <v>23</v>
      </c>
    </row>
    <row r="27" spans="1:25" x14ac:dyDescent="0.25">
      <c r="B27" s="6" t="s">
        <v>8</v>
      </c>
      <c r="C27" s="7" t="s">
        <v>2</v>
      </c>
      <c r="D27" s="7" t="s">
        <v>3</v>
      </c>
      <c r="E27" s="7" t="s">
        <v>4</v>
      </c>
      <c r="F27" s="7" t="s">
        <v>5</v>
      </c>
      <c r="G27" s="8" t="s">
        <v>30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6"/>
      <c r="V27" s="6"/>
      <c r="W27" s="6"/>
      <c r="X27" s="6"/>
      <c r="Y27" s="6"/>
    </row>
    <row r="28" spans="1:25" x14ac:dyDescent="0.25">
      <c r="B28" s="6" t="s">
        <v>9</v>
      </c>
      <c r="C28" s="7"/>
      <c r="D28" s="7" t="s">
        <v>2</v>
      </c>
      <c r="E28" s="9" t="s">
        <v>3</v>
      </c>
      <c r="F28" s="9" t="s">
        <v>3</v>
      </c>
      <c r="G28" s="7" t="s">
        <v>3</v>
      </c>
      <c r="H28" s="7" t="s">
        <v>10</v>
      </c>
      <c r="I28" s="7" t="s">
        <v>5</v>
      </c>
      <c r="J28" s="8" t="s">
        <v>30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6"/>
      <c r="V28" s="6"/>
      <c r="W28" s="6"/>
      <c r="X28" s="6"/>
      <c r="Y28" s="6"/>
    </row>
    <row r="29" spans="1:25" x14ac:dyDescent="0.25">
      <c r="B29" s="6" t="s">
        <v>27</v>
      </c>
      <c r="C29" s="7"/>
      <c r="D29" s="7"/>
      <c r="E29" s="9"/>
      <c r="F29" s="9"/>
      <c r="G29" s="7" t="s">
        <v>2</v>
      </c>
      <c r="H29" s="7" t="s">
        <v>3</v>
      </c>
      <c r="I29" s="7" t="s">
        <v>4</v>
      </c>
      <c r="J29" s="7" t="s">
        <v>5</v>
      </c>
      <c r="K29" s="8" t="s">
        <v>30</v>
      </c>
      <c r="L29" s="7"/>
      <c r="M29" s="7"/>
      <c r="N29" s="7"/>
      <c r="O29" s="7"/>
      <c r="P29" s="7"/>
      <c r="Q29" s="7"/>
      <c r="R29" s="7"/>
      <c r="S29" s="7"/>
      <c r="T29" s="6"/>
      <c r="U29" s="6"/>
      <c r="V29" s="6"/>
      <c r="W29" s="6"/>
      <c r="X29" s="6"/>
      <c r="Y29" s="6"/>
    </row>
    <row r="30" spans="1:25" x14ac:dyDescent="0.25">
      <c r="A30" s="2" t="s">
        <v>0</v>
      </c>
      <c r="B30" s="6" t="s">
        <v>12</v>
      </c>
      <c r="C30" s="7"/>
      <c r="D30" s="7"/>
      <c r="E30" s="7"/>
      <c r="F30" s="9"/>
      <c r="G30" s="7"/>
      <c r="H30" s="7" t="s">
        <v>2</v>
      </c>
      <c r="I30" s="7" t="s">
        <v>3</v>
      </c>
      <c r="J30" s="7" t="s">
        <v>4</v>
      </c>
      <c r="K30" s="7" t="s">
        <v>5</v>
      </c>
      <c r="L30" s="8" t="s">
        <v>30</v>
      </c>
      <c r="M30" s="7"/>
      <c r="N30" s="7"/>
      <c r="O30" s="7"/>
      <c r="P30" s="7"/>
      <c r="Q30" s="7"/>
      <c r="R30" s="7"/>
      <c r="S30" s="7"/>
      <c r="T30" s="6"/>
      <c r="U30" s="6"/>
      <c r="V30" s="6"/>
      <c r="W30" s="6"/>
      <c r="X30" s="6"/>
      <c r="Y30" s="6"/>
    </row>
    <row r="31" spans="1:25" x14ac:dyDescent="0.25">
      <c r="B31" s="6" t="s">
        <v>13</v>
      </c>
      <c r="C31" s="7"/>
      <c r="D31" s="7"/>
      <c r="E31" s="7"/>
      <c r="F31" s="7"/>
      <c r="G31" s="7"/>
      <c r="H31" s="7"/>
      <c r="I31" s="7" t="s">
        <v>2</v>
      </c>
      <c r="J31" s="9" t="s">
        <v>3</v>
      </c>
      <c r="K31" s="9" t="s">
        <v>3</v>
      </c>
      <c r="L31" s="7" t="s">
        <v>3</v>
      </c>
      <c r="M31" s="7" t="s">
        <v>10</v>
      </c>
      <c r="N31" s="7" t="s">
        <v>5</v>
      </c>
      <c r="O31" s="8" t="s">
        <v>30</v>
      </c>
      <c r="P31" s="7"/>
      <c r="Q31" s="7"/>
      <c r="R31" s="7"/>
      <c r="S31" s="7"/>
      <c r="T31" s="6"/>
      <c r="U31" s="6"/>
      <c r="V31" s="6"/>
      <c r="W31" s="6"/>
      <c r="X31" s="6"/>
      <c r="Y31" s="6"/>
    </row>
    <row r="32" spans="1:25" x14ac:dyDescent="0.25">
      <c r="B32" s="6" t="s">
        <v>15</v>
      </c>
      <c r="C32" s="7"/>
      <c r="D32" s="7"/>
      <c r="E32" s="7"/>
      <c r="F32" s="7"/>
      <c r="G32" s="7"/>
      <c r="H32" s="7"/>
      <c r="I32" s="9"/>
      <c r="J32" s="7"/>
      <c r="K32" s="7"/>
      <c r="L32" s="7" t="s">
        <v>2</v>
      </c>
      <c r="M32" s="7" t="s">
        <v>3</v>
      </c>
      <c r="N32" s="7" t="s">
        <v>4</v>
      </c>
      <c r="O32" s="7" t="s">
        <v>5</v>
      </c>
      <c r="P32" s="8" t="s">
        <v>30</v>
      </c>
      <c r="Q32" s="7"/>
      <c r="R32" s="7"/>
      <c r="S32" s="6"/>
      <c r="T32" s="6"/>
      <c r="U32" s="6"/>
      <c r="V32" s="6"/>
      <c r="W32" s="6"/>
      <c r="X32" s="6"/>
      <c r="Y32" s="6"/>
    </row>
    <row r="33" spans="1:29" x14ac:dyDescent="0.25">
      <c r="B33" s="6" t="s">
        <v>31</v>
      </c>
      <c r="C33" s="7"/>
      <c r="D33" s="7"/>
      <c r="E33" s="7"/>
      <c r="F33" s="7"/>
      <c r="G33" s="7"/>
      <c r="H33" s="7"/>
      <c r="I33" s="9"/>
      <c r="J33" s="7"/>
      <c r="K33" s="7"/>
      <c r="L33" s="7"/>
      <c r="M33" s="7" t="s">
        <v>2</v>
      </c>
      <c r="N33" s="9" t="s">
        <v>3</v>
      </c>
      <c r="O33" s="9" t="s">
        <v>3</v>
      </c>
      <c r="P33" s="7" t="s">
        <v>3</v>
      </c>
      <c r="Q33" s="7" t="s">
        <v>4</v>
      </c>
      <c r="R33" s="7" t="s">
        <v>5</v>
      </c>
      <c r="S33" s="8" t="s">
        <v>30</v>
      </c>
      <c r="T33" s="6"/>
      <c r="U33" s="6"/>
      <c r="V33" s="6"/>
      <c r="W33" s="6"/>
      <c r="X33" s="6"/>
      <c r="Y33" s="6"/>
    </row>
    <row r="34" spans="1:29" x14ac:dyDescent="0.25">
      <c r="B34" s="11" t="s">
        <v>32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2" t="s">
        <v>2</v>
      </c>
      <c r="Q34" s="14" t="s">
        <v>3</v>
      </c>
      <c r="R34" s="12" t="s">
        <v>3</v>
      </c>
      <c r="S34" s="12" t="s">
        <v>10</v>
      </c>
      <c r="T34" s="13" t="s">
        <v>16</v>
      </c>
      <c r="U34" s="12" t="s">
        <v>6</v>
      </c>
      <c r="V34" s="15"/>
      <c r="W34" s="16" t="s">
        <v>33</v>
      </c>
      <c r="X34" s="11"/>
      <c r="Y34" s="11"/>
      <c r="Z34" s="5"/>
      <c r="AA34" s="5"/>
      <c r="AB34" s="5"/>
      <c r="AC34" s="5"/>
    </row>
    <row r="35" spans="1:29" x14ac:dyDescent="0.25">
      <c r="B35" s="6" t="s">
        <v>17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 t="s">
        <v>2</v>
      </c>
      <c r="S35" s="7" t="s">
        <v>3</v>
      </c>
      <c r="T35" s="7" t="s">
        <v>4</v>
      </c>
      <c r="U35" s="7" t="s">
        <v>5</v>
      </c>
      <c r="V35" s="7" t="s">
        <v>30</v>
      </c>
      <c r="W35" s="6"/>
      <c r="X35" s="6"/>
      <c r="Y35" s="6"/>
    </row>
    <row r="36" spans="1:29" x14ac:dyDescent="0.25">
      <c r="B36" s="6" t="s">
        <v>18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9"/>
      <c r="O36" s="7"/>
      <c r="P36" s="7"/>
      <c r="Q36" s="8"/>
      <c r="R36" s="7"/>
      <c r="S36" s="7" t="s">
        <v>2</v>
      </c>
      <c r="T36" s="9" t="s">
        <v>3</v>
      </c>
      <c r="U36" s="9" t="s">
        <v>3</v>
      </c>
      <c r="V36" s="6" t="s">
        <v>19</v>
      </c>
      <c r="W36" s="6" t="s">
        <v>4</v>
      </c>
      <c r="X36" s="6" t="s">
        <v>5</v>
      </c>
      <c r="Y36" s="6" t="s">
        <v>6</v>
      </c>
    </row>
    <row r="37" spans="1:29" x14ac:dyDescent="0.25">
      <c r="S37" s="4"/>
      <c r="T37" s="4"/>
    </row>
    <row r="38" spans="1:29" x14ac:dyDescent="0.25">
      <c r="B38" t="s">
        <v>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"/>
      <c r="O38" s="1"/>
      <c r="P38" s="1"/>
      <c r="Q38" s="1"/>
      <c r="R38" s="1"/>
      <c r="V38" s="1"/>
      <c r="W38" s="1"/>
      <c r="X38" s="1"/>
      <c r="Y38" s="1"/>
      <c r="Z38" s="3"/>
    </row>
    <row r="40" spans="1:29" x14ac:dyDescent="0.25">
      <c r="A40" t="s">
        <v>20</v>
      </c>
      <c r="C40">
        <v>25</v>
      </c>
    </row>
    <row r="41" spans="1:29" x14ac:dyDescent="0.25">
      <c r="A41" t="s">
        <v>21</v>
      </c>
      <c r="C41">
        <f>3+25*7+1</f>
        <v>179</v>
      </c>
    </row>
    <row r="42" spans="1:29" x14ac:dyDescent="0.25">
      <c r="A42" t="s">
        <v>22</v>
      </c>
      <c r="C42">
        <f>8+23*6+6</f>
        <v>152</v>
      </c>
    </row>
    <row r="43" spans="1:29" x14ac:dyDescent="0.25">
      <c r="A43" t="s">
        <v>23</v>
      </c>
      <c r="C43">
        <v>24</v>
      </c>
    </row>
    <row r="44" spans="1:29" x14ac:dyDescent="0.25">
      <c r="A44" t="s">
        <v>24</v>
      </c>
      <c r="C44">
        <v>0</v>
      </c>
    </row>
    <row r="45" spans="1:29" x14ac:dyDescent="0.25">
      <c r="A45" t="s">
        <v>25</v>
      </c>
      <c r="C45">
        <f>1+(100/179)</f>
        <v>1.558659217877095</v>
      </c>
    </row>
    <row r="46" spans="1:29" x14ac:dyDescent="0.25">
      <c r="A46" t="s">
        <v>26</v>
      </c>
      <c r="C46">
        <f>1.56*179</f>
        <v>279.24</v>
      </c>
    </row>
    <row r="50" spans="1:24" x14ac:dyDescent="0.25">
      <c r="A50" t="s">
        <v>34</v>
      </c>
    </row>
    <row r="58" spans="1:24" x14ac:dyDescent="0.25">
      <c r="C58" s="6">
        <v>1</v>
      </c>
      <c r="D58" s="6">
        <v>2</v>
      </c>
      <c r="E58" s="6">
        <v>3</v>
      </c>
      <c r="F58" s="6">
        <v>4</v>
      </c>
      <c r="G58" s="6">
        <v>5</v>
      </c>
      <c r="H58" s="6">
        <v>6</v>
      </c>
      <c r="I58" s="6">
        <v>7</v>
      </c>
      <c r="J58" s="6">
        <v>8</v>
      </c>
      <c r="K58" s="6">
        <v>9</v>
      </c>
      <c r="L58" s="6">
        <v>10</v>
      </c>
      <c r="M58" s="6">
        <v>11</v>
      </c>
      <c r="N58" s="6">
        <v>12</v>
      </c>
      <c r="O58" s="6">
        <v>13</v>
      </c>
      <c r="P58" s="6">
        <v>14</v>
      </c>
      <c r="Q58" s="6">
        <v>15</v>
      </c>
      <c r="R58" s="6">
        <v>16</v>
      </c>
      <c r="S58" s="6">
        <v>17</v>
      </c>
      <c r="T58" s="6">
        <v>18</v>
      </c>
      <c r="U58" s="6">
        <v>19</v>
      </c>
      <c r="V58" s="6">
        <v>20</v>
      </c>
      <c r="W58" s="6">
        <v>21</v>
      </c>
      <c r="X58" s="6">
        <v>22</v>
      </c>
    </row>
    <row r="59" spans="1:24" x14ac:dyDescent="0.25">
      <c r="A59" s="2" t="s">
        <v>41</v>
      </c>
      <c r="B59" s="6" t="s">
        <v>35</v>
      </c>
      <c r="C59" s="7" t="s">
        <v>2</v>
      </c>
      <c r="D59" s="7" t="s">
        <v>3</v>
      </c>
      <c r="E59" s="7" t="s">
        <v>40</v>
      </c>
      <c r="F59" s="7" t="s">
        <v>5</v>
      </c>
      <c r="G59" s="7" t="s">
        <v>39</v>
      </c>
      <c r="H59" s="7" t="s">
        <v>6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25">
      <c r="A60" s="2" t="s">
        <v>41</v>
      </c>
      <c r="B60" s="6" t="s">
        <v>36</v>
      </c>
      <c r="C60" s="7"/>
      <c r="D60" s="7" t="s">
        <v>2</v>
      </c>
      <c r="E60" s="7" t="s">
        <v>3</v>
      </c>
      <c r="F60" s="7" t="s">
        <v>43</v>
      </c>
      <c r="G60" s="7" t="s">
        <v>5</v>
      </c>
      <c r="H60" s="7" t="s">
        <v>39</v>
      </c>
      <c r="I60" s="7" t="s">
        <v>6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5">
      <c r="B61" s="6" t="s">
        <v>37</v>
      </c>
      <c r="C61" s="7"/>
      <c r="D61" s="6"/>
      <c r="E61" s="7" t="s">
        <v>2</v>
      </c>
      <c r="F61" s="7" t="s">
        <v>3</v>
      </c>
      <c r="G61" s="7" t="s">
        <v>38</v>
      </c>
      <c r="H61" s="7" t="s">
        <v>5</v>
      </c>
      <c r="I61" s="7" t="s">
        <v>42</v>
      </c>
      <c r="J61" s="7" t="s">
        <v>6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9" spans="1:25" x14ac:dyDescent="0.25">
      <c r="C69" s="23" t="s">
        <v>56</v>
      </c>
      <c r="S69" s="29"/>
      <c r="T69" s="29"/>
      <c r="U69" s="29"/>
      <c r="V69" s="29"/>
      <c r="W69" s="29"/>
      <c r="X69" s="29"/>
      <c r="Y69" s="29"/>
    </row>
    <row r="70" spans="1:25" x14ac:dyDescent="0.25">
      <c r="C70" s="6">
        <v>1</v>
      </c>
      <c r="D70" s="6">
        <v>2</v>
      </c>
      <c r="E70" s="6">
        <v>3</v>
      </c>
      <c r="F70" s="6">
        <v>4</v>
      </c>
      <c r="G70" s="6">
        <v>5</v>
      </c>
      <c r="H70" s="6">
        <v>6</v>
      </c>
      <c r="I70" s="6">
        <v>7</v>
      </c>
      <c r="J70" s="6">
        <v>8</v>
      </c>
      <c r="K70" s="6">
        <v>9</v>
      </c>
      <c r="L70" s="6">
        <v>10</v>
      </c>
      <c r="M70" s="6">
        <v>11</v>
      </c>
      <c r="N70" s="6">
        <v>12</v>
      </c>
      <c r="O70" s="6">
        <v>13</v>
      </c>
      <c r="P70" s="6">
        <v>14</v>
      </c>
      <c r="Q70" s="6">
        <v>15</v>
      </c>
      <c r="R70" s="6">
        <v>16</v>
      </c>
      <c r="S70" s="29"/>
      <c r="T70" s="29"/>
      <c r="U70" s="29"/>
      <c r="V70" s="29"/>
      <c r="W70" s="29"/>
      <c r="X70" s="29"/>
      <c r="Y70" s="29"/>
    </row>
    <row r="71" spans="1:25" x14ac:dyDescent="0.25">
      <c r="A71" s="2"/>
      <c r="B71" s="6" t="s">
        <v>44</v>
      </c>
      <c r="C71" s="21" t="s">
        <v>2</v>
      </c>
      <c r="D71" s="21" t="s">
        <v>3</v>
      </c>
      <c r="E71" s="21" t="s">
        <v>53</v>
      </c>
      <c r="F71" s="21" t="s">
        <v>54</v>
      </c>
      <c r="G71" s="21" t="s">
        <v>5</v>
      </c>
      <c r="H71" s="21" t="s">
        <v>30</v>
      </c>
      <c r="I71" s="21"/>
      <c r="J71" s="21"/>
      <c r="K71" s="21"/>
      <c r="L71" s="21"/>
      <c r="M71" s="7"/>
      <c r="N71" s="7"/>
      <c r="O71" s="7"/>
      <c r="P71" s="7"/>
      <c r="Q71" s="7"/>
      <c r="R71" s="7"/>
      <c r="S71" s="32"/>
      <c r="T71" s="32"/>
      <c r="U71" s="32"/>
      <c r="V71" s="32"/>
      <c r="W71" s="32"/>
      <c r="X71" s="32"/>
      <c r="Y71" s="29"/>
    </row>
    <row r="72" spans="1:25" x14ac:dyDescent="0.25">
      <c r="B72" s="6" t="s">
        <v>45</v>
      </c>
      <c r="C72" s="21"/>
      <c r="D72" s="21" t="s">
        <v>2</v>
      </c>
      <c r="E72" s="21" t="s">
        <v>3</v>
      </c>
      <c r="F72" s="21" t="s">
        <v>53</v>
      </c>
      <c r="G72" s="21" t="s">
        <v>54</v>
      </c>
      <c r="H72" s="21" t="s">
        <v>5</v>
      </c>
      <c r="I72" s="21" t="s">
        <v>30</v>
      </c>
      <c r="J72" s="21"/>
      <c r="K72" s="21"/>
      <c r="L72" s="21"/>
      <c r="M72" s="7"/>
      <c r="N72" s="7"/>
      <c r="O72" s="7"/>
      <c r="P72" s="7"/>
      <c r="Q72" s="7"/>
      <c r="R72" s="7"/>
      <c r="S72" s="32"/>
      <c r="T72" s="32"/>
      <c r="U72" s="32"/>
      <c r="V72" s="32"/>
      <c r="W72" s="32"/>
      <c r="X72" s="32"/>
      <c r="Y72" s="29"/>
    </row>
    <row r="73" spans="1:25" x14ac:dyDescent="0.25">
      <c r="A73" s="2" t="s">
        <v>57</v>
      </c>
      <c r="B73" s="6" t="s">
        <v>46</v>
      </c>
      <c r="C73" s="21"/>
      <c r="D73" s="22"/>
      <c r="E73" s="21" t="s">
        <v>2</v>
      </c>
      <c r="F73" s="21" t="s">
        <v>3</v>
      </c>
      <c r="G73" s="25" t="s">
        <v>53</v>
      </c>
      <c r="H73" s="25" t="s">
        <v>53</v>
      </c>
      <c r="I73" s="19" t="s">
        <v>53</v>
      </c>
      <c r="J73" s="21" t="s">
        <v>55</v>
      </c>
      <c r="K73" s="21" t="s">
        <v>5</v>
      </c>
      <c r="L73" s="21" t="s">
        <v>30</v>
      </c>
      <c r="M73" s="7"/>
      <c r="N73" s="27"/>
      <c r="O73" s="27"/>
      <c r="P73" s="27"/>
      <c r="Q73" s="27"/>
      <c r="R73" s="7"/>
      <c r="S73" s="32"/>
      <c r="T73" s="32"/>
      <c r="U73" s="32"/>
      <c r="V73" s="32"/>
      <c r="W73" s="32"/>
      <c r="X73" s="32"/>
      <c r="Y73" s="29"/>
    </row>
    <row r="74" spans="1:25" x14ac:dyDescent="0.25">
      <c r="A74" s="2" t="s">
        <v>58</v>
      </c>
      <c r="B74" s="6" t="s">
        <v>47</v>
      </c>
      <c r="C74" s="6"/>
      <c r="D74" s="6"/>
      <c r="E74" s="6"/>
      <c r="F74" s="21" t="s">
        <v>2</v>
      </c>
      <c r="G74" s="25" t="s">
        <v>3</v>
      </c>
      <c r="H74" s="25" t="s">
        <v>3</v>
      </c>
      <c r="I74" s="25" t="s">
        <v>3</v>
      </c>
      <c r="J74" s="25" t="s">
        <v>3</v>
      </c>
      <c r="K74" s="25" t="s">
        <v>3</v>
      </c>
      <c r="L74" s="6" t="s">
        <v>53</v>
      </c>
      <c r="M74" s="26" t="s">
        <v>55</v>
      </c>
      <c r="N74" s="31" t="s">
        <v>60</v>
      </c>
      <c r="O74" s="30"/>
      <c r="P74" s="30"/>
      <c r="Q74" s="30"/>
      <c r="R74" s="30"/>
      <c r="S74" s="29"/>
      <c r="T74" s="29"/>
      <c r="U74" s="29"/>
      <c r="V74" s="29"/>
      <c r="W74" s="29"/>
      <c r="X74" s="29"/>
      <c r="Y74" s="29"/>
    </row>
    <row r="75" spans="1:25" x14ac:dyDescent="0.25">
      <c r="A75" s="2"/>
      <c r="B75" s="6" t="s">
        <v>48</v>
      </c>
      <c r="C75" s="6"/>
      <c r="D75" s="6"/>
      <c r="E75" s="6"/>
      <c r="F75" s="6"/>
      <c r="G75" s="6"/>
      <c r="H75" s="6"/>
      <c r="I75" s="6"/>
      <c r="J75" s="6"/>
      <c r="K75" s="6"/>
      <c r="L75" s="21" t="s">
        <v>2</v>
      </c>
      <c r="M75" s="21" t="s">
        <v>3</v>
      </c>
      <c r="N75" s="28" t="s">
        <v>53</v>
      </c>
      <c r="O75" s="28" t="s">
        <v>54</v>
      </c>
      <c r="P75" s="28" t="s">
        <v>5</v>
      </c>
      <c r="Q75" s="28" t="s">
        <v>30</v>
      </c>
      <c r="R75" s="6"/>
      <c r="S75" s="29"/>
      <c r="T75" s="29"/>
      <c r="U75" s="29"/>
      <c r="V75" s="29"/>
      <c r="W75" s="29"/>
      <c r="X75" s="29"/>
      <c r="Y75" s="29"/>
    </row>
    <row r="76" spans="1:25" x14ac:dyDescent="0.25">
      <c r="A76" s="24" t="s">
        <v>59</v>
      </c>
      <c r="B76" s="6" t="s">
        <v>49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21" t="s">
        <v>2</v>
      </c>
      <c r="N76" s="21" t="s">
        <v>3</v>
      </c>
      <c r="O76" s="21" t="s">
        <v>53</v>
      </c>
      <c r="P76" s="21" t="s">
        <v>54</v>
      </c>
      <c r="Q76" s="21" t="s">
        <v>5</v>
      </c>
      <c r="R76" s="21" t="s">
        <v>30</v>
      </c>
      <c r="S76" s="29"/>
      <c r="T76" s="29"/>
      <c r="U76" s="29"/>
      <c r="V76" s="29"/>
      <c r="W76" s="29"/>
      <c r="X76" s="29"/>
      <c r="Y76" s="29"/>
    </row>
    <row r="77" spans="1:25" x14ac:dyDescent="0.25">
      <c r="A77" s="2"/>
      <c r="B77" s="6" t="s">
        <v>50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21" t="s">
        <v>2</v>
      </c>
      <c r="O77" s="21" t="s">
        <v>3</v>
      </c>
      <c r="P77" s="21" t="s">
        <v>53</v>
      </c>
      <c r="Q77" s="21" t="s">
        <v>54</v>
      </c>
      <c r="R77" s="21" t="s">
        <v>5</v>
      </c>
      <c r="S77" s="33" t="s">
        <v>30</v>
      </c>
      <c r="T77" s="29"/>
      <c r="U77" s="29"/>
      <c r="V77" s="29"/>
      <c r="W77" s="29"/>
      <c r="X77" s="29"/>
      <c r="Y77" s="29"/>
    </row>
    <row r="78" spans="1:25" x14ac:dyDescent="0.25">
      <c r="A78" s="2"/>
      <c r="B78" s="6" t="s">
        <v>51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21" t="s">
        <v>2</v>
      </c>
      <c r="P78" s="21" t="s">
        <v>3</v>
      </c>
      <c r="Q78" s="21" t="s">
        <v>53</v>
      </c>
      <c r="R78" s="21" t="s">
        <v>54</v>
      </c>
      <c r="S78" s="33" t="s">
        <v>5</v>
      </c>
      <c r="T78" s="33" t="s">
        <v>30</v>
      </c>
      <c r="U78" s="23" t="s">
        <v>61</v>
      </c>
      <c r="V78" s="29"/>
      <c r="W78" s="29"/>
      <c r="X78" s="29"/>
      <c r="Y78" s="29"/>
    </row>
    <row r="79" spans="1:25" x14ac:dyDescent="0.25">
      <c r="A79" s="2"/>
      <c r="B79" s="6" t="s">
        <v>52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 t="s">
        <v>2</v>
      </c>
      <c r="R79" s="6"/>
      <c r="S79" s="29"/>
      <c r="T79" s="29"/>
      <c r="U79" s="29"/>
      <c r="V79" s="29"/>
      <c r="W79" s="29"/>
      <c r="X79" s="29"/>
      <c r="Y79" s="29"/>
    </row>
    <row r="80" spans="1:25" x14ac:dyDescent="0.25">
      <c r="T80" s="23"/>
      <c r="U80" s="23"/>
      <c r="V80" s="23"/>
      <c r="W80" s="23"/>
      <c r="X80" s="23"/>
      <c r="Y80" s="23"/>
    </row>
    <row r="84" spans="1:19" x14ac:dyDescent="0.25">
      <c r="C84" s="23" t="s">
        <v>66</v>
      </c>
    </row>
    <row r="85" spans="1:19" x14ac:dyDescent="0.25">
      <c r="C85" s="17">
        <v>1</v>
      </c>
      <c r="D85" s="17">
        <v>2</v>
      </c>
      <c r="E85" s="17">
        <v>3</v>
      </c>
      <c r="F85" s="17">
        <v>4</v>
      </c>
      <c r="G85" s="17">
        <v>5</v>
      </c>
      <c r="H85" s="17">
        <v>6</v>
      </c>
      <c r="I85" s="17">
        <v>7</v>
      </c>
      <c r="J85" s="17">
        <v>8</v>
      </c>
      <c r="K85" s="17">
        <v>9</v>
      </c>
      <c r="L85" s="17">
        <v>10</v>
      </c>
      <c r="M85" s="17">
        <v>11</v>
      </c>
      <c r="N85" s="17">
        <v>12</v>
      </c>
      <c r="O85" s="17">
        <v>13</v>
      </c>
      <c r="P85" s="17">
        <v>14</v>
      </c>
      <c r="Q85" s="17">
        <v>15</v>
      </c>
      <c r="R85" s="17">
        <v>16</v>
      </c>
      <c r="S85" s="29"/>
    </row>
    <row r="86" spans="1:19" x14ac:dyDescent="0.25">
      <c r="A86" s="2"/>
      <c r="B86" s="6" t="s">
        <v>35</v>
      </c>
      <c r="C86" s="21" t="s">
        <v>2</v>
      </c>
      <c r="D86" s="21" t="s">
        <v>3</v>
      </c>
      <c r="E86" s="21" t="s">
        <v>64</v>
      </c>
      <c r="F86" s="21" t="s">
        <v>16</v>
      </c>
      <c r="G86" s="21" t="s">
        <v>6</v>
      </c>
      <c r="H86" s="21"/>
      <c r="I86" s="21"/>
      <c r="J86" s="21"/>
      <c r="K86" s="21"/>
      <c r="L86" s="21"/>
      <c r="M86" s="7"/>
      <c r="N86" s="7"/>
      <c r="O86" s="7"/>
      <c r="P86" s="7"/>
      <c r="Q86" s="7"/>
      <c r="R86" s="7"/>
      <c r="S86" s="32"/>
    </row>
    <row r="87" spans="1:19" x14ac:dyDescent="0.25">
      <c r="A87" s="2" t="s">
        <v>41</v>
      </c>
      <c r="B87" s="6" t="s">
        <v>47</v>
      </c>
      <c r="C87" s="21"/>
      <c r="D87" s="21" t="s">
        <v>2</v>
      </c>
      <c r="E87" s="21" t="s">
        <v>3</v>
      </c>
      <c r="F87" s="21" t="s">
        <v>10</v>
      </c>
      <c r="G87" s="21" t="s">
        <v>16</v>
      </c>
      <c r="H87" s="21" t="s">
        <v>6</v>
      </c>
      <c r="I87" s="21"/>
      <c r="J87" s="21"/>
      <c r="K87" s="21"/>
      <c r="L87" s="21"/>
      <c r="M87" s="7"/>
      <c r="N87" s="7"/>
      <c r="O87" s="7"/>
      <c r="P87" s="7"/>
      <c r="Q87" s="7"/>
      <c r="R87" s="7"/>
      <c r="S87" s="32"/>
    </row>
    <row r="88" spans="1:19" x14ac:dyDescent="0.25">
      <c r="A88" s="2" t="s">
        <v>41</v>
      </c>
      <c r="B88" s="6" t="s">
        <v>62</v>
      </c>
      <c r="C88" s="21"/>
      <c r="D88" s="22"/>
      <c r="E88" s="21" t="s">
        <v>2</v>
      </c>
      <c r="F88" s="21" t="s">
        <v>3</v>
      </c>
      <c r="G88" s="21" t="s">
        <v>10</v>
      </c>
      <c r="H88" s="21" t="s">
        <v>11</v>
      </c>
      <c r="I88" s="21" t="s">
        <v>6</v>
      </c>
      <c r="J88" s="21"/>
      <c r="K88" s="21"/>
      <c r="L88" s="21"/>
      <c r="M88" s="7"/>
      <c r="N88" s="7"/>
      <c r="O88" s="7"/>
      <c r="P88" s="7"/>
      <c r="Q88" s="7"/>
      <c r="R88" s="7"/>
      <c r="S88" s="32"/>
    </row>
    <row r="89" spans="1:19" x14ac:dyDescent="0.25">
      <c r="A89" s="2" t="s">
        <v>65</v>
      </c>
      <c r="B89" s="6" t="s">
        <v>63</v>
      </c>
      <c r="C89" s="6"/>
      <c r="D89" s="6"/>
      <c r="E89" s="6"/>
      <c r="F89" s="9" t="s">
        <v>2</v>
      </c>
      <c r="G89" s="9" t="s">
        <v>2</v>
      </c>
      <c r="H89" s="9" t="s">
        <v>2</v>
      </c>
      <c r="I89" s="21" t="s">
        <v>2</v>
      </c>
      <c r="J89" s="21" t="s">
        <v>3</v>
      </c>
      <c r="K89" s="21" t="s">
        <v>64</v>
      </c>
      <c r="L89" s="21" t="s">
        <v>5</v>
      </c>
      <c r="M89" s="21" t="s">
        <v>6</v>
      </c>
      <c r="N89" s="34"/>
      <c r="O89" s="6"/>
      <c r="P89" s="6"/>
      <c r="Q89" s="6"/>
      <c r="R89" s="6"/>
      <c r="S89" s="29"/>
    </row>
    <row r="97" spans="1:29" x14ac:dyDescent="0.25">
      <c r="C97" s="23" t="s">
        <v>87</v>
      </c>
    </row>
    <row r="98" spans="1:29" x14ac:dyDescent="0.25">
      <c r="C98" s="17">
        <v>1</v>
      </c>
      <c r="D98" s="17">
        <v>2</v>
      </c>
      <c r="E98" s="17">
        <v>3</v>
      </c>
      <c r="F98" s="17">
        <v>4</v>
      </c>
      <c r="G98" s="17">
        <v>5</v>
      </c>
      <c r="H98" s="17">
        <v>6</v>
      </c>
      <c r="I98" s="17">
        <v>7</v>
      </c>
      <c r="J98" s="17">
        <v>8</v>
      </c>
      <c r="K98" s="17">
        <v>9</v>
      </c>
      <c r="L98" s="17">
        <v>10</v>
      </c>
      <c r="M98" s="17">
        <v>11</v>
      </c>
      <c r="N98" s="17">
        <v>12</v>
      </c>
      <c r="O98" s="17">
        <v>13</v>
      </c>
      <c r="P98" s="17">
        <v>14</v>
      </c>
      <c r="Q98" s="17">
        <v>15</v>
      </c>
      <c r="R98" s="17">
        <v>16</v>
      </c>
    </row>
    <row r="99" spans="1:29" x14ac:dyDescent="0.25">
      <c r="B99" s="6" t="s">
        <v>67</v>
      </c>
      <c r="C99" s="21" t="s">
        <v>2</v>
      </c>
      <c r="D99" s="21" t="s">
        <v>3</v>
      </c>
      <c r="E99" s="21" t="s">
        <v>10</v>
      </c>
      <c r="F99" s="18" t="s">
        <v>16</v>
      </c>
      <c r="G99" s="21" t="s">
        <v>6</v>
      </c>
      <c r="H99" s="21"/>
      <c r="I99" s="21"/>
      <c r="J99" s="21"/>
      <c r="K99" s="21"/>
      <c r="L99" s="21"/>
      <c r="M99" s="7"/>
      <c r="N99" s="7"/>
      <c r="O99" s="7"/>
      <c r="P99" s="7"/>
      <c r="Q99" s="7"/>
      <c r="R99" s="7"/>
    </row>
    <row r="100" spans="1:29" x14ac:dyDescent="0.25">
      <c r="B100" s="6" t="s">
        <v>68</v>
      </c>
      <c r="C100" s="21"/>
      <c r="D100" s="21" t="s">
        <v>2</v>
      </c>
      <c r="E100" s="21" t="s">
        <v>3</v>
      </c>
      <c r="F100" s="21" t="s">
        <v>64</v>
      </c>
      <c r="G100" s="18" t="s">
        <v>5</v>
      </c>
      <c r="H100" s="21" t="s">
        <v>6</v>
      </c>
      <c r="I100" s="21"/>
      <c r="J100" s="21"/>
      <c r="K100" s="21"/>
      <c r="L100" s="21"/>
      <c r="M100" s="7"/>
      <c r="N100" s="7"/>
      <c r="O100" s="7"/>
      <c r="P100" s="7"/>
      <c r="Q100" s="7"/>
      <c r="R100" s="7"/>
    </row>
    <row r="101" spans="1:29" x14ac:dyDescent="0.25">
      <c r="A101" s="2" t="s">
        <v>70</v>
      </c>
      <c r="B101" s="6" t="s">
        <v>69</v>
      </c>
      <c r="C101" s="21"/>
      <c r="D101" s="22"/>
      <c r="E101" s="21" t="s">
        <v>2</v>
      </c>
      <c r="F101" s="21" t="s">
        <v>3</v>
      </c>
      <c r="G101" s="21" t="s">
        <v>10</v>
      </c>
      <c r="H101" s="18" t="s">
        <v>16</v>
      </c>
      <c r="I101" s="21" t="s">
        <v>6</v>
      </c>
      <c r="J101" s="21"/>
      <c r="K101" s="21"/>
      <c r="L101" s="21"/>
      <c r="M101" s="7"/>
      <c r="N101" s="7"/>
      <c r="O101" s="7"/>
      <c r="P101" s="7"/>
      <c r="Q101" s="7"/>
      <c r="R101" s="7"/>
    </row>
    <row r="102" spans="1:29" x14ac:dyDescent="0.25">
      <c r="A102" s="2" t="s">
        <v>65</v>
      </c>
      <c r="B102" s="6" t="s">
        <v>68</v>
      </c>
      <c r="C102" s="6"/>
      <c r="D102" s="6"/>
      <c r="E102" s="6"/>
      <c r="F102" s="35" t="s">
        <v>2</v>
      </c>
      <c r="G102" s="35" t="s">
        <v>2</v>
      </c>
      <c r="H102" s="35" t="s">
        <v>2</v>
      </c>
      <c r="I102" s="21" t="s">
        <v>2</v>
      </c>
      <c r="J102" s="21" t="s">
        <v>3</v>
      </c>
      <c r="K102" s="21" t="s">
        <v>10</v>
      </c>
      <c r="L102" s="21" t="s">
        <v>16</v>
      </c>
      <c r="M102" s="21" t="s">
        <v>6</v>
      </c>
      <c r="N102" s="34"/>
      <c r="O102" s="6"/>
      <c r="P102" s="6"/>
      <c r="Q102" s="6"/>
      <c r="R102" s="6"/>
    </row>
    <row r="110" spans="1:29" x14ac:dyDescent="0.25">
      <c r="D110" s="38" t="s">
        <v>85</v>
      </c>
    </row>
    <row r="111" spans="1:29" x14ac:dyDescent="0.25">
      <c r="C111" s="17">
        <v>1</v>
      </c>
      <c r="D111" s="17">
        <v>2</v>
      </c>
      <c r="E111" s="17">
        <v>3</v>
      </c>
      <c r="F111" s="17">
        <v>4</v>
      </c>
      <c r="G111" s="17">
        <v>5</v>
      </c>
      <c r="H111" s="17">
        <v>6</v>
      </c>
      <c r="I111" s="17">
        <v>7</v>
      </c>
      <c r="J111" s="17">
        <v>8</v>
      </c>
      <c r="K111" s="17">
        <v>9</v>
      </c>
      <c r="L111" s="17">
        <v>10</v>
      </c>
      <c r="M111" s="17">
        <v>11</v>
      </c>
      <c r="N111" s="17">
        <v>12</v>
      </c>
      <c r="O111" s="17">
        <v>13</v>
      </c>
      <c r="P111" s="17">
        <v>14</v>
      </c>
      <c r="Q111" s="17">
        <v>15</v>
      </c>
      <c r="R111" s="17">
        <v>16</v>
      </c>
      <c r="T111" s="36"/>
      <c r="U111" s="36"/>
      <c r="V111" s="36"/>
      <c r="W111" s="36"/>
      <c r="X111" s="36"/>
      <c r="Y111" s="36"/>
      <c r="Z111" s="36"/>
      <c r="AA111" s="36"/>
      <c r="AB111" s="36"/>
      <c r="AC111" s="36"/>
    </row>
    <row r="112" spans="1:29" x14ac:dyDescent="0.25">
      <c r="B112" s="6" t="s">
        <v>35</v>
      </c>
      <c r="C112" s="7" t="s">
        <v>2</v>
      </c>
      <c r="D112" s="7" t="s">
        <v>3</v>
      </c>
      <c r="E112" s="7" t="s">
        <v>10</v>
      </c>
      <c r="F112" s="7" t="s">
        <v>74</v>
      </c>
      <c r="G112" s="7" t="s">
        <v>6</v>
      </c>
      <c r="H112" s="37" t="s">
        <v>84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</row>
    <row r="113" spans="1:29" x14ac:dyDescent="0.25">
      <c r="B113" s="6" t="s">
        <v>71</v>
      </c>
      <c r="C113" s="7"/>
      <c r="D113" s="7" t="s">
        <v>2</v>
      </c>
      <c r="E113" s="7" t="s">
        <v>3</v>
      </c>
      <c r="F113" s="7" t="s">
        <v>64</v>
      </c>
      <c r="G113" s="7" t="s">
        <v>74</v>
      </c>
      <c r="H113" s="7" t="s">
        <v>6</v>
      </c>
      <c r="I113" s="7" t="s">
        <v>75</v>
      </c>
      <c r="J113" s="7"/>
      <c r="K113" s="7"/>
      <c r="L113" s="7"/>
      <c r="M113" s="7"/>
      <c r="N113" s="7"/>
      <c r="O113" s="7"/>
      <c r="P113" s="7"/>
      <c r="Q113" s="7"/>
      <c r="R113" s="7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</row>
    <row r="114" spans="1:29" x14ac:dyDescent="0.25">
      <c r="A114" s="2" t="s">
        <v>41</v>
      </c>
      <c r="B114" s="6" t="s">
        <v>72</v>
      </c>
      <c r="C114" s="7"/>
      <c r="D114" s="7"/>
      <c r="E114" s="7" t="s">
        <v>2</v>
      </c>
      <c r="F114" s="9" t="s">
        <v>3</v>
      </c>
      <c r="G114" s="9" t="s">
        <v>3</v>
      </c>
      <c r="H114" s="37" t="s">
        <v>3</v>
      </c>
      <c r="I114" s="7" t="s">
        <v>10</v>
      </c>
      <c r="J114" s="7" t="s">
        <v>74</v>
      </c>
      <c r="K114" s="7" t="s">
        <v>6</v>
      </c>
      <c r="L114" s="7" t="s">
        <v>84</v>
      </c>
      <c r="M114" s="7"/>
      <c r="N114" s="7"/>
      <c r="O114" s="7"/>
      <c r="P114" s="7"/>
      <c r="Q114" s="7"/>
      <c r="R114" s="7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</row>
    <row r="115" spans="1:29" x14ac:dyDescent="0.25">
      <c r="A115" s="2" t="s">
        <v>41</v>
      </c>
      <c r="B115" s="6" t="s">
        <v>73</v>
      </c>
      <c r="C115" s="6"/>
      <c r="D115" s="6"/>
      <c r="E115" s="6"/>
      <c r="F115" s="9" t="s">
        <v>2</v>
      </c>
      <c r="G115" s="9" t="s">
        <v>2</v>
      </c>
      <c r="H115" s="7" t="s">
        <v>2</v>
      </c>
      <c r="I115" s="20" t="s">
        <v>3</v>
      </c>
      <c r="J115" s="7" t="s">
        <v>10</v>
      </c>
      <c r="K115" s="9" t="s">
        <v>86</v>
      </c>
      <c r="L115" s="9" t="s">
        <v>86</v>
      </c>
      <c r="M115" s="7" t="s">
        <v>86</v>
      </c>
      <c r="N115" s="7" t="s">
        <v>6</v>
      </c>
      <c r="O115" s="7" t="s">
        <v>75</v>
      </c>
      <c r="P115" s="6"/>
      <c r="Q115" s="6"/>
      <c r="R115" s="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</row>
    <row r="118" spans="1:29" x14ac:dyDescent="0.25">
      <c r="C118" s="17">
        <v>1</v>
      </c>
      <c r="D118" s="17">
        <v>2</v>
      </c>
      <c r="E118" s="17">
        <v>3</v>
      </c>
      <c r="F118" s="17">
        <v>4</v>
      </c>
      <c r="G118" s="17">
        <v>5</v>
      </c>
      <c r="H118" s="17">
        <v>6</v>
      </c>
      <c r="I118" s="17">
        <v>7</v>
      </c>
      <c r="J118" s="17">
        <v>8</v>
      </c>
      <c r="K118" s="17">
        <v>9</v>
      </c>
      <c r="L118" s="17">
        <v>10</v>
      </c>
      <c r="M118" s="17">
        <v>11</v>
      </c>
      <c r="N118" s="17">
        <v>12</v>
      </c>
      <c r="O118" s="17">
        <v>13</v>
      </c>
      <c r="P118" s="17">
        <v>14</v>
      </c>
      <c r="Q118" s="17">
        <v>15</v>
      </c>
      <c r="R118" s="17">
        <v>16</v>
      </c>
    </row>
    <row r="119" spans="1:29" x14ac:dyDescent="0.25">
      <c r="B119" s="6" t="s">
        <v>35</v>
      </c>
      <c r="C119" s="7" t="s">
        <v>2</v>
      </c>
      <c r="D119" s="7" t="s">
        <v>3</v>
      </c>
      <c r="E119" s="7" t="s">
        <v>4</v>
      </c>
      <c r="F119" s="7" t="s">
        <v>74</v>
      </c>
      <c r="G119" s="7" t="s">
        <v>6</v>
      </c>
      <c r="H119" s="7" t="s">
        <v>84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29" x14ac:dyDescent="0.25">
      <c r="B120" s="6" t="s">
        <v>35</v>
      </c>
      <c r="C120" s="7"/>
      <c r="D120" s="7" t="s">
        <v>2</v>
      </c>
      <c r="E120" s="7" t="s">
        <v>3</v>
      </c>
      <c r="F120" s="7" t="s">
        <v>4</v>
      </c>
      <c r="G120" s="7" t="s">
        <v>74</v>
      </c>
      <c r="H120" s="7" t="s">
        <v>6</v>
      </c>
      <c r="I120" s="7" t="s">
        <v>84</v>
      </c>
      <c r="J120" s="7"/>
      <c r="K120" s="7"/>
      <c r="L120" s="7"/>
      <c r="M120" s="7"/>
      <c r="N120" s="7"/>
      <c r="O120" s="7"/>
      <c r="P120" s="7"/>
      <c r="Q120" s="7"/>
      <c r="R120" s="7"/>
    </row>
    <row r="121" spans="1:29" x14ac:dyDescent="0.25">
      <c r="A121" s="2" t="s">
        <v>41</v>
      </c>
      <c r="B121" s="6" t="s">
        <v>76</v>
      </c>
      <c r="C121" s="7"/>
      <c r="D121" s="7"/>
      <c r="E121" s="7" t="s">
        <v>2</v>
      </c>
      <c r="F121" s="7" t="s">
        <v>3</v>
      </c>
      <c r="G121" s="7"/>
      <c r="H121" s="7"/>
      <c r="I121" s="7"/>
      <c r="J121" s="7" t="s">
        <v>10</v>
      </c>
      <c r="K121" s="7"/>
      <c r="L121" s="7"/>
      <c r="M121" s="7"/>
      <c r="N121" s="7"/>
      <c r="O121" s="7"/>
      <c r="P121" s="7"/>
      <c r="Q121" s="7"/>
      <c r="R121" s="7"/>
    </row>
    <row r="122" spans="1:29" x14ac:dyDescent="0.25">
      <c r="B122" s="6" t="s">
        <v>77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32" spans="2:18" x14ac:dyDescent="0.25">
      <c r="C132" s="17">
        <v>1</v>
      </c>
      <c r="D132" s="17">
        <v>2</v>
      </c>
      <c r="E132" s="17">
        <v>3</v>
      </c>
      <c r="F132" s="17">
        <v>4</v>
      </c>
      <c r="G132" s="17">
        <v>5</v>
      </c>
      <c r="H132" s="17">
        <v>6</v>
      </c>
      <c r="I132" s="17">
        <v>7</v>
      </c>
      <c r="J132" s="17">
        <v>8</v>
      </c>
      <c r="K132" s="17">
        <v>9</v>
      </c>
      <c r="L132" s="17">
        <v>10</v>
      </c>
      <c r="M132" s="17">
        <v>11</v>
      </c>
      <c r="N132" s="17">
        <v>12</v>
      </c>
      <c r="O132" s="17">
        <v>13</v>
      </c>
      <c r="P132" s="17">
        <v>14</v>
      </c>
      <c r="Q132" s="17">
        <v>15</v>
      </c>
      <c r="R132" s="17">
        <v>16</v>
      </c>
    </row>
    <row r="133" spans="2:18" x14ac:dyDescent="0.25">
      <c r="B133" s="6" t="s">
        <v>78</v>
      </c>
      <c r="C133" s="7" t="s">
        <v>2</v>
      </c>
      <c r="D133" s="7" t="s">
        <v>3</v>
      </c>
      <c r="E133" s="7" t="s">
        <v>4</v>
      </c>
      <c r="F133" s="7" t="s">
        <v>74</v>
      </c>
      <c r="G133" s="7" t="s">
        <v>6</v>
      </c>
      <c r="H133" s="7" t="s">
        <v>75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2:18" x14ac:dyDescent="0.25">
      <c r="B134" s="6" t="s">
        <v>79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2:18" x14ac:dyDescent="0.25">
      <c r="B135" s="6" t="s">
        <v>80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2:18" x14ac:dyDescent="0.25">
      <c r="B136" s="6" t="s">
        <v>81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2:18" x14ac:dyDescent="0.25">
      <c r="B137" s="6" t="s">
        <v>82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2:18" x14ac:dyDescent="0.25">
      <c r="B138" s="6" t="s">
        <v>83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</sheetData>
  <mergeCells count="1">
    <mergeCell ref="T111:AC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LOPEZ CUENCA</dc:creator>
  <cp:lastModifiedBy>MIGUEL ANGEL LOPEZ CUENCA</cp:lastModifiedBy>
  <dcterms:created xsi:type="dcterms:W3CDTF">2026-02-25T20:09:18Z</dcterms:created>
  <dcterms:modified xsi:type="dcterms:W3CDTF">2026-03-04T20:30:20Z</dcterms:modified>
</cp:coreProperties>
</file>